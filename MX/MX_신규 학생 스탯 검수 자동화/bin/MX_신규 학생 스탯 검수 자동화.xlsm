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VBA_Work\"/>
    </mc:Choice>
  </mc:AlternateContent>
  <xr:revisionPtr revIDLastSave="0" documentId="13_ncr:1_{27B94287-1BEA-43F4-A802-DBDEDECA1682}" xr6:coauthVersionLast="47" xr6:coauthVersionMax="47" xr10:uidLastSave="{00000000-0000-0000-0000-000000000000}"/>
  <bookViews>
    <workbookView xWindow="38280" yWindow="-120" windowWidth="38640" windowHeight="21120" activeTab="2" xr2:uid="{00000000-000D-0000-FFFF-FFFF00000000}"/>
  </bookViews>
  <sheets>
    <sheet name="요청 개요" sheetId="12" r:id="rId1"/>
    <sheet name="사용자가 입력할 시트" sheetId="6" r:id="rId2"/>
    <sheet name="데이터 처리" sheetId="8" r:id="rId3"/>
  </sheets>
  <definedNames>
    <definedName name="_xleta.N" hidden="1" xlm="1">#NAME?</definedName>
    <definedName name="_xlpm.colEnd" hidden="1" xlm="1">#NAME?</definedName>
    <definedName name="_xlpm.colStart" hidden="1" xlm="1">#NAME?</definedName>
    <definedName name="_xlpm.endRow" hidden="1" xlm="1">#NAME?</definedName>
    <definedName name="_xlpm.nextTitleCell" hidden="1" xlm="1">#NAME?</definedName>
    <definedName name="_xlpm.startRow" hidden="1" xlm="1">#NAME?</definedName>
    <definedName name="_xlpm.titleCell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65" i="8" l="1"/>
  <c r="AD64" i="8"/>
  <c r="AD63" i="8"/>
  <c r="AD62" i="8"/>
  <c r="AD61" i="8"/>
  <c r="AD60" i="8"/>
  <c r="AD59" i="8"/>
  <c r="AD58" i="8"/>
  <c r="AD57" i="8"/>
  <c r="AD56" i="8"/>
  <c r="AD55" i="8"/>
  <c r="AD54" i="8"/>
  <c r="AD53" i="8"/>
  <c r="AD52" i="8"/>
  <c r="AD51" i="8"/>
  <c r="AD50" i="8"/>
  <c r="AD49" i="8"/>
  <c r="AD48" i="8"/>
  <c r="AD47" i="8"/>
  <c r="AD46" i="8"/>
  <c r="AD45" i="8"/>
  <c r="AD44" i="8"/>
  <c r="AD43" i="8"/>
  <c r="AD42" i="8"/>
  <c r="AD41" i="8"/>
  <c r="AD40" i="8"/>
  <c r="AD39" i="8"/>
  <c r="AD38" i="8"/>
  <c r="AD37" i="8"/>
  <c r="AD36" i="8"/>
  <c r="AD35" i="8"/>
  <c r="AD34" i="8"/>
  <c r="AD33" i="8"/>
  <c r="AD32" i="8"/>
  <c r="AD31" i="8"/>
  <c r="AD30" i="8"/>
  <c r="AD29" i="8"/>
  <c r="AD28" i="8"/>
  <c r="AD27" i="8"/>
  <c r="AD26" i="8"/>
  <c r="AD25" i="8"/>
  <c r="AD24" i="8"/>
  <c r="AD23" i="8"/>
  <c r="AD22" i="8"/>
  <c r="AD21" i="8"/>
  <c r="AD20" i="8"/>
  <c r="AD19" i="8"/>
  <c r="AD18" i="8"/>
  <c r="AD17" i="8"/>
  <c r="AD16" i="8"/>
  <c r="AD15" i="8"/>
  <c r="AD14" i="8"/>
  <c r="AD13" i="8"/>
  <c r="AD12" i="8"/>
  <c r="AD11" i="8"/>
  <c r="AD10" i="8"/>
  <c r="AD9" i="8"/>
  <c r="AD8" i="8"/>
  <c r="AD7" i="8"/>
  <c r="AD6" i="8"/>
  <c r="W66" i="8"/>
  <c r="X93" i="8"/>
  <c r="W71" i="8"/>
  <c r="W84" i="8"/>
  <c r="W83" i="8"/>
  <c r="W68" i="8"/>
  <c r="W92" i="8"/>
  <c r="W91" i="8"/>
  <c r="W79" i="8"/>
  <c r="W76" i="8"/>
  <c r="W65" i="8"/>
  <c r="X76" i="8"/>
  <c r="Y72" i="8"/>
  <c r="Y76" i="8"/>
  <c r="Y71" i="8"/>
  <c r="Y68" i="8"/>
  <c r="Y89" i="8"/>
  <c r="X85" i="8"/>
  <c r="X84" i="8"/>
  <c r="X89" i="8"/>
  <c r="Y69" i="8"/>
  <c r="X79" i="8"/>
  <c r="Y83" i="8"/>
  <c r="Y67" i="8"/>
  <c r="X75" i="8"/>
  <c r="X96" i="8"/>
  <c r="Y65" i="8"/>
  <c r="W77" i="8"/>
  <c r="Y90" i="8"/>
  <c r="X92" i="8"/>
  <c r="X87" i="8"/>
  <c r="W80" i="8"/>
  <c r="W86" i="8"/>
  <c r="Y77" i="8"/>
  <c r="X74" i="8"/>
  <c r="W82" i="8"/>
  <c r="W90" i="8"/>
  <c r="Y74" i="8"/>
  <c r="W78" i="8"/>
  <c r="W74" i="8"/>
  <c r="Y86" i="8"/>
  <c r="Y92" i="8"/>
  <c r="W85" i="8"/>
  <c r="W81" i="8"/>
  <c r="Y88" i="8"/>
  <c r="X77" i="8"/>
  <c r="X90" i="8"/>
  <c r="Y91" i="8"/>
  <c r="Y80" i="8"/>
  <c r="X88" i="8"/>
  <c r="W70" i="8"/>
  <c r="W67" i="8"/>
  <c r="Y87" i="8"/>
  <c r="X95" i="8"/>
  <c r="X71" i="8"/>
  <c r="W93" i="8"/>
  <c r="X83" i="8"/>
  <c r="Y81" i="8"/>
  <c r="X66" i="8"/>
  <c r="Y73" i="8"/>
  <c r="X94" i="8"/>
  <c r="W69" i="8"/>
  <c r="X65" i="8"/>
  <c r="X72" i="8"/>
  <c r="Y82" i="8"/>
  <c r="W94" i="8"/>
  <c r="W73" i="8"/>
  <c r="X80" i="8"/>
  <c r="Y84" i="8"/>
  <c r="Y75" i="8"/>
  <c r="W72" i="8"/>
  <c r="W89" i="8"/>
  <c r="Y95" i="8"/>
  <c r="Y70" i="8"/>
  <c r="W88" i="8"/>
  <c r="Y94" i="8"/>
  <c r="X73" i="8"/>
  <c r="Y79" i="8"/>
  <c r="W87" i="8"/>
  <c r="X78" i="8"/>
  <c r="X82" i="8"/>
  <c r="Y78" i="8"/>
  <c r="Y93" i="8"/>
  <c r="X81" i="8"/>
  <c r="X91" i="8"/>
  <c r="X69" i="8"/>
  <c r="X67" i="8"/>
  <c r="X68" i="8"/>
  <c r="W75" i="8"/>
  <c r="X86" i="8"/>
  <c r="W96" i="8"/>
  <c r="X70" i="8"/>
  <c r="Y96" i="8"/>
  <c r="Y85" i="8"/>
  <c r="Y66" i="8"/>
  <c r="W95" i="8"/>
  <c r="Z93" i="8" l="1"/>
  <c r="Z67" i="8"/>
  <c r="Z92" i="8"/>
  <c r="Z66" i="8"/>
  <c r="Z72" i="8"/>
  <c r="Z78" i="8"/>
  <c r="Z91" i="8"/>
  <c r="Z83" i="8"/>
  <c r="Z90" i="8"/>
  <c r="Z89" i="8"/>
  <c r="Z96" i="8"/>
  <c r="Z70" i="8"/>
  <c r="Z95" i="8"/>
  <c r="Z69" i="8"/>
  <c r="Z84" i="8"/>
  <c r="Z76" i="8"/>
  <c r="Z68" i="8"/>
  <c r="Z75" i="8"/>
  <c r="Z73" i="8"/>
  <c r="Z71" i="8"/>
  <c r="Z82" i="8"/>
  <c r="Z74" i="8"/>
  <c r="Z81" i="8"/>
  <c r="Z79" i="8"/>
  <c r="Z85" i="8"/>
  <c r="Z88" i="8"/>
  <c r="Z80" i="8"/>
  <c r="Z65" i="8"/>
  <c r="Z77" i="8"/>
  <c r="Z87" i="8"/>
  <c r="Z94" i="8"/>
  <c r="Z86" i="8"/>
  <c r="BZ60" i="8" l="1"/>
  <c r="BZ64" i="8"/>
  <c r="BZ56" i="8"/>
  <c r="BZ35" i="8"/>
  <c r="BZ30" i="8"/>
  <c r="BZ26" i="8"/>
  <c r="BZ5" i="8"/>
  <c r="BU64" i="8"/>
  <c r="BU60" i="8"/>
  <c r="BU56" i="8"/>
  <c r="BU35" i="8"/>
  <c r="BU30" i="8"/>
  <c r="BU26" i="8"/>
  <c r="BU5" i="8"/>
  <c r="BP64" i="8"/>
  <c r="BP60" i="8"/>
  <c r="BP56" i="8"/>
  <c r="BP35" i="8"/>
  <c r="BP30" i="8"/>
  <c r="BP26" i="8"/>
  <c r="BP5" i="8"/>
  <c r="BK64" i="8"/>
  <c r="BK60" i="8"/>
  <c r="BK56" i="8"/>
  <c r="BK35" i="8"/>
  <c r="BK30" i="8"/>
  <c r="BK26" i="8"/>
  <c r="BK5" i="8"/>
  <c r="BF64" i="8"/>
  <c r="BF60" i="8"/>
  <c r="BF56" i="8"/>
  <c r="BF35" i="8"/>
  <c r="BF30" i="8"/>
  <c r="BF26" i="8"/>
  <c r="BF5" i="8"/>
  <c r="BA64" i="8"/>
  <c r="BA60" i="8"/>
  <c r="BA56" i="8"/>
  <c r="BA35" i="8"/>
  <c r="BA30" i="8"/>
  <c r="BA26" i="8"/>
  <c r="BA5" i="8"/>
  <c r="AV64" i="8"/>
  <c r="AV60" i="8"/>
  <c r="AV56" i="8"/>
  <c r="AV35" i="8"/>
  <c r="AV30" i="8"/>
  <c r="AV26" i="8"/>
  <c r="AV5" i="8"/>
  <c r="AQ64" i="8"/>
  <c r="AQ60" i="8"/>
  <c r="AQ56" i="8"/>
  <c r="AQ26" i="8"/>
  <c r="AQ5" i="8"/>
  <c r="AL64" i="8"/>
  <c r="AL60" i="8"/>
  <c r="AL56" i="8"/>
  <c r="AL30" i="8"/>
  <c r="AL26" i="8"/>
  <c r="AL5" i="8"/>
  <c r="AG26" i="8"/>
  <c r="AG56" i="8"/>
  <c r="AG60" i="8"/>
  <c r="AG64" i="8"/>
  <c r="AG5" i="8"/>
  <c r="CA100" i="8" a="1"/>
  <c r="CA100" i="8" s="1"/>
  <c r="BZ100" i="8" s="1"/>
  <c r="CA99" i="8" a="1"/>
  <c r="CA99" i="8" s="1"/>
  <c r="BZ99" i="8" s="1"/>
  <c r="CA98" i="8" a="1"/>
  <c r="CA98" i="8" s="1"/>
  <c r="BZ98" i="8" s="1"/>
  <c r="CA97" i="8" a="1"/>
  <c r="CA97" i="8" s="1"/>
  <c r="BZ97" i="8" s="1"/>
  <c r="CA96" i="8" a="1"/>
  <c r="CA96" i="8" s="1"/>
  <c r="BZ96" i="8" s="1"/>
  <c r="CA95" i="8" a="1"/>
  <c r="CA95" i="8" s="1"/>
  <c r="BZ95" i="8" s="1"/>
  <c r="CA94" i="8" a="1"/>
  <c r="CA94" i="8" s="1"/>
  <c r="BZ94" i="8" s="1"/>
  <c r="CA93" i="8" a="1"/>
  <c r="CA93" i="8" s="1"/>
  <c r="BZ93" i="8" s="1"/>
  <c r="CA92" i="8" a="1"/>
  <c r="CA92" i="8" s="1"/>
  <c r="BZ92" i="8" s="1"/>
  <c r="CA91" i="8" a="1"/>
  <c r="CA91" i="8" s="1"/>
  <c r="BZ91" i="8" s="1"/>
  <c r="CA90" i="8" a="1"/>
  <c r="CA90" i="8" s="1"/>
  <c r="BZ90" i="8" s="1"/>
  <c r="CA89" i="8" a="1"/>
  <c r="CA89" i="8" s="1"/>
  <c r="BZ89" i="8" s="1"/>
  <c r="CA88" i="8" a="1"/>
  <c r="CA88" i="8" s="1"/>
  <c r="BZ88" i="8" s="1"/>
  <c r="CA87" i="8" a="1"/>
  <c r="CA87" i="8" s="1"/>
  <c r="BZ87" i="8" s="1"/>
  <c r="CA86" i="8" a="1"/>
  <c r="CA86" i="8" s="1"/>
  <c r="BZ86" i="8" s="1"/>
  <c r="CA85" i="8" a="1"/>
  <c r="CA85" i="8" s="1"/>
  <c r="BZ85" i="8" s="1"/>
  <c r="CA84" i="8" a="1"/>
  <c r="CA84" i="8" s="1"/>
  <c r="BZ84" i="8" s="1"/>
  <c r="CA83" i="8" a="1"/>
  <c r="CA83" i="8" s="1"/>
  <c r="BZ83" i="8" s="1"/>
  <c r="CA82" i="8" a="1"/>
  <c r="CA82" i="8" s="1"/>
  <c r="BZ82" i="8" s="1"/>
  <c r="CA81" i="8" a="1"/>
  <c r="CA81" i="8" s="1"/>
  <c r="BZ81" i="8" s="1"/>
  <c r="CA80" i="8" a="1"/>
  <c r="CA80" i="8" s="1"/>
  <c r="BZ80" i="8" s="1"/>
  <c r="CA79" i="8" a="1"/>
  <c r="CA79" i="8" s="1"/>
  <c r="BZ79" i="8" s="1"/>
  <c r="CA78" i="8" a="1"/>
  <c r="CA78" i="8" s="1"/>
  <c r="BZ78" i="8" s="1"/>
  <c r="CA77" i="8" a="1"/>
  <c r="CA77" i="8" s="1"/>
  <c r="BZ77" i="8" s="1"/>
  <c r="CA76" i="8" a="1"/>
  <c r="CA76" i="8" s="1"/>
  <c r="BZ76" i="8" s="1"/>
  <c r="CA75" i="8" a="1"/>
  <c r="CA75" i="8" s="1"/>
  <c r="BZ75" i="8" s="1"/>
  <c r="CA74" i="8" a="1"/>
  <c r="CA74" i="8" s="1"/>
  <c r="BZ74" i="8" s="1"/>
  <c r="CA73" i="8" a="1"/>
  <c r="CA73" i="8" s="1"/>
  <c r="BZ73" i="8" s="1"/>
  <c r="CA72" i="8" a="1"/>
  <c r="CA72" i="8" s="1"/>
  <c r="BZ72" i="8" s="1"/>
  <c r="CA71" i="8" a="1"/>
  <c r="CA71" i="8" s="1"/>
  <c r="BZ71" i="8" s="1"/>
  <c r="CA70" i="8" a="1"/>
  <c r="CA70" i="8" s="1"/>
  <c r="BZ70" i="8" s="1"/>
  <c r="CA69" i="8" a="1"/>
  <c r="CA69" i="8" s="1"/>
  <c r="BZ69" i="8" s="1"/>
  <c r="CA68" i="8" a="1"/>
  <c r="CA68" i="8" s="1"/>
  <c r="BZ68" i="8" s="1"/>
  <c r="CA67" i="8" a="1"/>
  <c r="CA67" i="8" s="1"/>
  <c r="BZ67" i="8" s="1"/>
  <c r="CA66" i="8" a="1"/>
  <c r="CA66" i="8" s="1"/>
  <c r="BZ66" i="8" s="1"/>
  <c r="CA65" i="8" a="1"/>
  <c r="CA65" i="8" s="1"/>
  <c r="BZ65" i="8" s="1"/>
  <c r="CA64" i="8" a="1"/>
  <c r="CA64" i="8" s="1"/>
  <c r="CA63" i="8" a="1"/>
  <c r="CA63" i="8" s="1"/>
  <c r="BZ63" i="8" s="1"/>
  <c r="CA62" i="8" a="1"/>
  <c r="CA62" i="8" s="1"/>
  <c r="BZ62" i="8" s="1"/>
  <c r="CA61" i="8" a="1"/>
  <c r="CA61" i="8" s="1"/>
  <c r="BZ61" i="8" s="1"/>
  <c r="CA60" i="8" a="1"/>
  <c r="CA60" i="8" s="1"/>
  <c r="CA59" i="8" a="1"/>
  <c r="CA59" i="8" s="1"/>
  <c r="BZ59" i="8" s="1"/>
  <c r="CA58" i="8" a="1"/>
  <c r="CA58" i="8" s="1"/>
  <c r="BZ58" i="8" s="1"/>
  <c r="CA57" i="8" a="1"/>
  <c r="CA57" i="8" s="1"/>
  <c r="BZ57" i="8" s="1"/>
  <c r="CA56" i="8" a="1"/>
  <c r="CA56" i="8" s="1"/>
  <c r="CA55" i="8" a="1"/>
  <c r="CA55" i="8" s="1"/>
  <c r="BZ55" i="8" s="1"/>
  <c r="CA54" i="8" a="1"/>
  <c r="CA54" i="8" s="1"/>
  <c r="BZ54" i="8" s="1"/>
  <c r="CA53" i="8" a="1"/>
  <c r="CA53" i="8" s="1"/>
  <c r="BZ53" i="8" s="1"/>
  <c r="CA52" i="8" a="1"/>
  <c r="CA52" i="8" s="1"/>
  <c r="BZ52" i="8" s="1"/>
  <c r="CA51" i="8" a="1"/>
  <c r="CA51" i="8" s="1"/>
  <c r="BZ51" i="8" s="1"/>
  <c r="CA50" i="8" a="1"/>
  <c r="CA50" i="8" s="1"/>
  <c r="BZ50" i="8" s="1"/>
  <c r="CA49" i="8" a="1"/>
  <c r="CA49" i="8" s="1"/>
  <c r="BZ49" i="8" s="1"/>
  <c r="CA48" i="8" a="1"/>
  <c r="CA48" i="8" s="1"/>
  <c r="BZ48" i="8" s="1"/>
  <c r="CA47" i="8" a="1"/>
  <c r="CA47" i="8" s="1"/>
  <c r="BZ47" i="8" s="1"/>
  <c r="CA46" i="8" a="1"/>
  <c r="CA46" i="8" s="1"/>
  <c r="BZ46" i="8" s="1"/>
  <c r="CA45" i="8" a="1"/>
  <c r="CA45" i="8" s="1"/>
  <c r="BZ45" i="8" s="1"/>
  <c r="CA44" i="8" a="1"/>
  <c r="CA44" i="8" s="1"/>
  <c r="BZ44" i="8" s="1"/>
  <c r="CA43" i="8" a="1"/>
  <c r="CA43" i="8" s="1"/>
  <c r="BZ43" i="8" s="1"/>
  <c r="CA42" i="8" a="1"/>
  <c r="CA42" i="8" s="1"/>
  <c r="BZ42" i="8" s="1"/>
  <c r="CA41" i="8" a="1"/>
  <c r="CA41" i="8" s="1"/>
  <c r="BZ41" i="8" s="1"/>
  <c r="CA40" i="8" a="1"/>
  <c r="CA40" i="8" s="1"/>
  <c r="BZ40" i="8" s="1"/>
  <c r="CA39" i="8" a="1"/>
  <c r="CA39" i="8" s="1"/>
  <c r="BZ39" i="8" s="1"/>
  <c r="CA38" i="8" a="1"/>
  <c r="CA38" i="8" s="1"/>
  <c r="BZ38" i="8" s="1"/>
  <c r="CA37" i="8" a="1"/>
  <c r="CA37" i="8" s="1"/>
  <c r="BZ37" i="8" s="1"/>
  <c r="CA36" i="8" a="1"/>
  <c r="CA36" i="8" s="1"/>
  <c r="BZ36" i="8" s="1"/>
  <c r="CA35" i="8" a="1"/>
  <c r="CA35" i="8" s="1"/>
  <c r="CA34" i="8" a="1"/>
  <c r="CA34" i="8" s="1"/>
  <c r="BZ34" i="8" s="1"/>
  <c r="CA33" i="8" a="1"/>
  <c r="CA33" i="8" s="1"/>
  <c r="BZ33" i="8" s="1"/>
  <c r="CA32" i="8" a="1"/>
  <c r="CA32" i="8" s="1"/>
  <c r="BZ32" i="8" s="1"/>
  <c r="CA31" i="8" a="1"/>
  <c r="CA31" i="8" s="1"/>
  <c r="BZ31" i="8" s="1"/>
  <c r="CA30" i="8" a="1"/>
  <c r="CA30" i="8" s="1"/>
  <c r="CA29" i="8" a="1"/>
  <c r="CA29" i="8" s="1"/>
  <c r="BZ29" i="8" s="1"/>
  <c r="CA28" i="8" a="1"/>
  <c r="CA28" i="8" s="1"/>
  <c r="BZ28" i="8" s="1"/>
  <c r="CA27" i="8" a="1"/>
  <c r="CA27" i="8" s="1"/>
  <c r="BZ27" i="8" s="1"/>
  <c r="CA26" i="8" a="1"/>
  <c r="CA26" i="8" s="1"/>
  <c r="CA25" i="8" a="1"/>
  <c r="CA25" i="8" s="1"/>
  <c r="BZ25" i="8" s="1"/>
  <c r="CA24" i="8" a="1"/>
  <c r="CA24" i="8" s="1"/>
  <c r="BZ24" i="8" s="1"/>
  <c r="CA23" i="8" a="1"/>
  <c r="CA23" i="8" s="1"/>
  <c r="BZ23" i="8" s="1"/>
  <c r="CA22" i="8" a="1"/>
  <c r="CA22" i="8" s="1"/>
  <c r="BZ22" i="8" s="1"/>
  <c r="CA21" i="8" a="1"/>
  <c r="CA21" i="8" s="1"/>
  <c r="BZ21" i="8" s="1"/>
  <c r="CA20" i="8" a="1"/>
  <c r="CA20" i="8" s="1"/>
  <c r="BZ20" i="8" s="1"/>
  <c r="CA19" i="8" a="1"/>
  <c r="CA19" i="8" s="1"/>
  <c r="BZ19" i="8" s="1"/>
  <c r="CA18" i="8" a="1"/>
  <c r="CA18" i="8" s="1"/>
  <c r="BZ18" i="8" s="1"/>
  <c r="CA17" i="8" a="1"/>
  <c r="CA17" i="8" s="1"/>
  <c r="BZ17" i="8" s="1"/>
  <c r="CA16" i="8" a="1"/>
  <c r="CA16" i="8" s="1"/>
  <c r="BZ16" i="8" s="1"/>
  <c r="CA15" i="8" a="1"/>
  <c r="CA15" i="8" s="1"/>
  <c r="BZ15" i="8" s="1"/>
  <c r="CA14" i="8" a="1"/>
  <c r="CA14" i="8" s="1"/>
  <c r="BZ14" i="8" s="1"/>
  <c r="CA13" i="8" a="1"/>
  <c r="CA13" i="8" s="1"/>
  <c r="BZ13" i="8" s="1"/>
  <c r="CA12" i="8" a="1"/>
  <c r="CA12" i="8" s="1"/>
  <c r="BZ12" i="8" s="1"/>
  <c r="CA11" i="8" a="1"/>
  <c r="CA11" i="8" s="1"/>
  <c r="BZ11" i="8" s="1"/>
  <c r="CA10" i="8" a="1"/>
  <c r="CA10" i="8" s="1"/>
  <c r="BZ10" i="8" s="1"/>
  <c r="CA9" i="8" a="1"/>
  <c r="CA9" i="8" s="1"/>
  <c r="BZ9" i="8" s="1"/>
  <c r="CA8" i="8" a="1"/>
  <c r="CA8" i="8" s="1"/>
  <c r="BZ8" i="8" s="1"/>
  <c r="CA7" i="8" a="1"/>
  <c r="CA7" i="8" s="1"/>
  <c r="BZ7" i="8" s="1"/>
  <c r="CA6" i="8" a="1"/>
  <c r="CA6" i="8" s="1"/>
  <c r="BZ6" i="8" s="1"/>
  <c r="CA5" i="8" a="1"/>
  <c r="CA5" i="8" s="1"/>
  <c r="CA4" i="8" a="1"/>
  <c r="CA4" i="8" s="1"/>
  <c r="BZ4" i="8" s="1"/>
  <c r="BV100" i="8" a="1"/>
  <c r="BV100" i="8" s="1"/>
  <c r="BU100" i="8" s="1"/>
  <c r="BV99" i="8" a="1"/>
  <c r="BV99" i="8" s="1"/>
  <c r="BU99" i="8" s="1"/>
  <c r="BV98" i="8" a="1"/>
  <c r="BV98" i="8" s="1"/>
  <c r="BU98" i="8" s="1"/>
  <c r="BV97" i="8" a="1"/>
  <c r="BV97" i="8" s="1"/>
  <c r="BU97" i="8" s="1"/>
  <c r="BV96" i="8" a="1"/>
  <c r="BV96" i="8" s="1"/>
  <c r="BU96" i="8" s="1"/>
  <c r="BV95" i="8" a="1"/>
  <c r="BV95" i="8" s="1"/>
  <c r="BU95" i="8" s="1"/>
  <c r="BV94" i="8" a="1"/>
  <c r="BV94" i="8" s="1"/>
  <c r="BU94" i="8" s="1"/>
  <c r="BV93" i="8" a="1"/>
  <c r="BV93" i="8" s="1"/>
  <c r="BU93" i="8" s="1"/>
  <c r="BV92" i="8" a="1"/>
  <c r="BV92" i="8" s="1"/>
  <c r="BU92" i="8" s="1"/>
  <c r="BV91" i="8" a="1"/>
  <c r="BV91" i="8" s="1"/>
  <c r="BX91" i="8" s="1" a="1"/>
  <c r="BX91" i="8" s="1"/>
  <c r="BV90" i="8" a="1"/>
  <c r="BV90" i="8" s="1"/>
  <c r="BU90" i="8" s="1"/>
  <c r="BV89" i="8" a="1"/>
  <c r="BV89" i="8" s="1"/>
  <c r="BU89" i="8" s="1"/>
  <c r="BV88" i="8" a="1"/>
  <c r="BV88" i="8" s="1"/>
  <c r="BU88" i="8" s="1"/>
  <c r="BV87" i="8" a="1"/>
  <c r="BV87" i="8" s="1"/>
  <c r="BU87" i="8" s="1"/>
  <c r="BV86" i="8" a="1"/>
  <c r="BV86" i="8" s="1"/>
  <c r="BU86" i="8" s="1"/>
  <c r="BV85" i="8" a="1"/>
  <c r="BV85" i="8" s="1"/>
  <c r="BU85" i="8" s="1"/>
  <c r="BV84" i="8" a="1"/>
  <c r="BV84" i="8" s="1"/>
  <c r="BU84" i="8" s="1"/>
  <c r="BV83" i="8" a="1"/>
  <c r="BV83" i="8" s="1"/>
  <c r="BU83" i="8" s="1"/>
  <c r="BV82" i="8" a="1"/>
  <c r="BV82" i="8" s="1"/>
  <c r="BU82" i="8" s="1"/>
  <c r="BV81" i="8" a="1"/>
  <c r="BV81" i="8" s="1"/>
  <c r="BX81" i="8" s="1" a="1"/>
  <c r="BX81" i="8" s="1"/>
  <c r="BV80" i="8" a="1"/>
  <c r="BV80" i="8" s="1"/>
  <c r="BU80" i="8" s="1"/>
  <c r="BV79" i="8" a="1"/>
  <c r="BV79" i="8" s="1"/>
  <c r="BU79" i="8" s="1"/>
  <c r="BV78" i="8" a="1"/>
  <c r="BV78" i="8" s="1"/>
  <c r="BU78" i="8" s="1"/>
  <c r="BV77" i="8" a="1"/>
  <c r="BV77" i="8" s="1"/>
  <c r="BU77" i="8" s="1"/>
  <c r="BV76" i="8" a="1"/>
  <c r="BV76" i="8" s="1"/>
  <c r="BU76" i="8" s="1"/>
  <c r="BV75" i="8" a="1"/>
  <c r="BV75" i="8" s="1"/>
  <c r="BU75" i="8" s="1"/>
  <c r="BV74" i="8" a="1"/>
  <c r="BV74" i="8" s="1"/>
  <c r="BU74" i="8" s="1"/>
  <c r="BV73" i="8" a="1"/>
  <c r="BV73" i="8" s="1"/>
  <c r="BU73" i="8" s="1"/>
  <c r="BV72" i="8" a="1"/>
  <c r="BV72" i="8" s="1"/>
  <c r="BU72" i="8" s="1"/>
  <c r="BV71" i="8" a="1"/>
  <c r="BV71" i="8" s="1"/>
  <c r="BU71" i="8" s="1"/>
  <c r="BV70" i="8" a="1"/>
  <c r="BV70" i="8" s="1"/>
  <c r="BU70" i="8" s="1"/>
  <c r="BV69" i="8" a="1"/>
  <c r="BV69" i="8" s="1"/>
  <c r="BU69" i="8" s="1"/>
  <c r="BV68" i="8" a="1"/>
  <c r="BV68" i="8" s="1"/>
  <c r="BU68" i="8" s="1"/>
  <c r="BV67" i="8" a="1"/>
  <c r="BV67" i="8" s="1"/>
  <c r="BU67" i="8" s="1"/>
  <c r="BV66" i="8" a="1"/>
  <c r="BV66" i="8" s="1"/>
  <c r="BU66" i="8" s="1"/>
  <c r="BV65" i="8" a="1"/>
  <c r="BV65" i="8" s="1"/>
  <c r="BU65" i="8" s="1"/>
  <c r="BV64" i="8" a="1"/>
  <c r="BV64" i="8" s="1"/>
  <c r="BV63" i="8" a="1"/>
  <c r="BV63" i="8" s="1"/>
  <c r="BU63" i="8" s="1"/>
  <c r="BV62" i="8" a="1"/>
  <c r="BV62" i="8" s="1"/>
  <c r="BU62" i="8" s="1"/>
  <c r="BV61" i="8" a="1"/>
  <c r="BV61" i="8" s="1"/>
  <c r="BU61" i="8" s="1"/>
  <c r="BV60" i="8" a="1"/>
  <c r="BV60" i="8" s="1"/>
  <c r="BV59" i="8" a="1"/>
  <c r="BV59" i="8" s="1"/>
  <c r="BU59" i="8" s="1"/>
  <c r="BV58" i="8" a="1"/>
  <c r="BV58" i="8" s="1"/>
  <c r="BU58" i="8" s="1"/>
  <c r="BV57" i="8" a="1"/>
  <c r="BV57" i="8" s="1"/>
  <c r="BU57" i="8" s="1"/>
  <c r="BV56" i="8" a="1"/>
  <c r="BV56" i="8" s="1"/>
  <c r="BV55" i="8" a="1"/>
  <c r="BV55" i="8" s="1"/>
  <c r="BU55" i="8" s="1"/>
  <c r="BV54" i="8" a="1"/>
  <c r="BV54" i="8" s="1"/>
  <c r="BU54" i="8" s="1"/>
  <c r="BV53" i="8" a="1"/>
  <c r="BV53" i="8" s="1"/>
  <c r="BU53" i="8" s="1"/>
  <c r="BV52" i="8" a="1"/>
  <c r="BV52" i="8" s="1"/>
  <c r="BU52" i="8" s="1"/>
  <c r="BV51" i="8" a="1"/>
  <c r="BV51" i="8" s="1"/>
  <c r="BU51" i="8" s="1"/>
  <c r="BV50" i="8" a="1"/>
  <c r="BV50" i="8" s="1"/>
  <c r="BU50" i="8" s="1"/>
  <c r="BV49" i="8" a="1"/>
  <c r="BV49" i="8" s="1"/>
  <c r="BU49" i="8" s="1"/>
  <c r="BV48" i="8" a="1"/>
  <c r="BV48" i="8" s="1"/>
  <c r="BU48" i="8" s="1"/>
  <c r="BV47" i="8" a="1"/>
  <c r="BV47" i="8" s="1"/>
  <c r="BU47" i="8" s="1"/>
  <c r="BV46" i="8" a="1"/>
  <c r="BV46" i="8" s="1"/>
  <c r="BU46" i="8" s="1"/>
  <c r="BV45" i="8" a="1"/>
  <c r="BV45" i="8" s="1"/>
  <c r="BU45" i="8" s="1"/>
  <c r="BV44" i="8" a="1"/>
  <c r="BV44" i="8" s="1"/>
  <c r="BU44" i="8" s="1"/>
  <c r="BV43" i="8" a="1"/>
  <c r="BV43" i="8" s="1"/>
  <c r="BU43" i="8" s="1"/>
  <c r="BV42" i="8" a="1"/>
  <c r="BV42" i="8" s="1"/>
  <c r="BU42" i="8" s="1"/>
  <c r="BV41" i="8" a="1"/>
  <c r="BV41" i="8" s="1"/>
  <c r="BU41" i="8" s="1"/>
  <c r="BV40" i="8" a="1"/>
  <c r="BV40" i="8" s="1"/>
  <c r="BU40" i="8" s="1"/>
  <c r="BV39" i="8" a="1"/>
  <c r="BV39" i="8" s="1"/>
  <c r="BU39" i="8" s="1"/>
  <c r="BV38" i="8" a="1"/>
  <c r="BV38" i="8" s="1"/>
  <c r="BU38" i="8" s="1"/>
  <c r="BV37" i="8" a="1"/>
  <c r="BV37" i="8" s="1"/>
  <c r="BU37" i="8" s="1"/>
  <c r="BV36" i="8" a="1"/>
  <c r="BV36" i="8" s="1"/>
  <c r="BU36" i="8" s="1"/>
  <c r="BV35" i="8" a="1"/>
  <c r="BV35" i="8" s="1"/>
  <c r="BV34" i="8" a="1"/>
  <c r="BV34" i="8" s="1"/>
  <c r="BU34" i="8" s="1"/>
  <c r="BV33" i="8" a="1"/>
  <c r="BV33" i="8" s="1"/>
  <c r="BU33" i="8" s="1"/>
  <c r="BV32" i="8" a="1"/>
  <c r="BV32" i="8" s="1"/>
  <c r="BU32" i="8" s="1"/>
  <c r="BV31" i="8" a="1"/>
  <c r="BV31" i="8" s="1"/>
  <c r="BU31" i="8" s="1"/>
  <c r="BV30" i="8" a="1"/>
  <c r="BV30" i="8" s="1"/>
  <c r="BV29" i="8" a="1"/>
  <c r="BV29" i="8" s="1"/>
  <c r="BU29" i="8" s="1"/>
  <c r="BV28" i="8" a="1"/>
  <c r="BV28" i="8" s="1"/>
  <c r="BU28" i="8" s="1"/>
  <c r="BV27" i="8" a="1"/>
  <c r="BV27" i="8" s="1"/>
  <c r="BU27" i="8" s="1"/>
  <c r="BV26" i="8" a="1"/>
  <c r="BV26" i="8" s="1"/>
  <c r="BV25" i="8" a="1"/>
  <c r="BV25" i="8" s="1"/>
  <c r="BU25" i="8" s="1"/>
  <c r="BV24" i="8" a="1"/>
  <c r="BV24" i="8" s="1"/>
  <c r="BU24" i="8" s="1"/>
  <c r="BV23" i="8" a="1"/>
  <c r="BV23" i="8" s="1"/>
  <c r="BU23" i="8" s="1"/>
  <c r="BV22" i="8" a="1"/>
  <c r="BV22" i="8" s="1"/>
  <c r="BU22" i="8" s="1"/>
  <c r="BV21" i="8" a="1"/>
  <c r="BV21" i="8" s="1"/>
  <c r="BU21" i="8" s="1"/>
  <c r="BV20" i="8" a="1"/>
  <c r="BV20" i="8" s="1"/>
  <c r="BU20" i="8" s="1"/>
  <c r="BV19" i="8" a="1"/>
  <c r="BV19" i="8" s="1"/>
  <c r="BU19" i="8" s="1"/>
  <c r="BV18" i="8" a="1"/>
  <c r="BV18" i="8" s="1"/>
  <c r="BU18" i="8" s="1"/>
  <c r="BV17" i="8" a="1"/>
  <c r="BV17" i="8" s="1"/>
  <c r="BU17" i="8" s="1"/>
  <c r="BV16" i="8" a="1"/>
  <c r="BV16" i="8" s="1"/>
  <c r="BU16" i="8" s="1"/>
  <c r="BV15" i="8" a="1"/>
  <c r="BV15" i="8" s="1"/>
  <c r="BU15" i="8" s="1"/>
  <c r="BV14" i="8" a="1"/>
  <c r="BV14" i="8" s="1"/>
  <c r="BU14" i="8" s="1"/>
  <c r="BV13" i="8" a="1"/>
  <c r="BV13" i="8" s="1"/>
  <c r="BU13" i="8" s="1"/>
  <c r="BV12" i="8" a="1"/>
  <c r="BV12" i="8" s="1"/>
  <c r="BU12" i="8" s="1"/>
  <c r="BV11" i="8" a="1"/>
  <c r="BV11" i="8" s="1"/>
  <c r="BU11" i="8" s="1"/>
  <c r="BV10" i="8" a="1"/>
  <c r="BV10" i="8" s="1"/>
  <c r="BU10" i="8" s="1"/>
  <c r="BV9" i="8" a="1"/>
  <c r="BV9" i="8" s="1"/>
  <c r="BU9" i="8" s="1"/>
  <c r="BV8" i="8" a="1"/>
  <c r="BV8" i="8" s="1"/>
  <c r="BU8" i="8" s="1"/>
  <c r="BV7" i="8" a="1"/>
  <c r="BV7" i="8" s="1"/>
  <c r="BU7" i="8" s="1"/>
  <c r="BV6" i="8" a="1"/>
  <c r="BV6" i="8" s="1"/>
  <c r="BU6" i="8" s="1"/>
  <c r="BV5" i="8" a="1"/>
  <c r="BV5" i="8" s="1"/>
  <c r="BV4" i="8" a="1"/>
  <c r="BV4" i="8" s="1"/>
  <c r="BU4" i="8" s="1"/>
  <c r="BQ100" i="8" a="1"/>
  <c r="BQ100" i="8" s="1"/>
  <c r="BP100" i="8" s="1"/>
  <c r="BQ99" i="8" a="1"/>
  <c r="BQ99" i="8" s="1"/>
  <c r="BP99" i="8" s="1"/>
  <c r="BQ98" i="8" a="1"/>
  <c r="BQ98" i="8" s="1"/>
  <c r="BP98" i="8" s="1"/>
  <c r="BQ97" i="8" a="1"/>
  <c r="BQ97" i="8" s="1"/>
  <c r="BP97" i="8" s="1"/>
  <c r="BQ96" i="8" a="1"/>
  <c r="BQ96" i="8" s="1"/>
  <c r="BP96" i="8" s="1"/>
  <c r="BQ95" i="8" a="1"/>
  <c r="BQ95" i="8" s="1"/>
  <c r="BP95" i="8" s="1"/>
  <c r="BQ94" i="8" a="1"/>
  <c r="BQ94" i="8" s="1"/>
  <c r="BP94" i="8" s="1"/>
  <c r="BQ93" i="8" a="1"/>
  <c r="BQ93" i="8" s="1"/>
  <c r="BP93" i="8" s="1"/>
  <c r="BQ92" i="8" a="1"/>
  <c r="BQ92" i="8" s="1"/>
  <c r="BP92" i="8" s="1"/>
  <c r="BQ91" i="8" a="1"/>
  <c r="BQ91" i="8" s="1"/>
  <c r="BP91" i="8" s="1"/>
  <c r="BQ90" i="8" a="1"/>
  <c r="BQ90" i="8" s="1"/>
  <c r="BP90" i="8" s="1"/>
  <c r="BQ89" i="8" a="1"/>
  <c r="BQ89" i="8" s="1"/>
  <c r="BP89" i="8" s="1"/>
  <c r="BQ88" i="8" a="1"/>
  <c r="BQ88" i="8" s="1"/>
  <c r="BP88" i="8" s="1"/>
  <c r="BQ87" i="8" a="1"/>
  <c r="BQ87" i="8" s="1"/>
  <c r="BP87" i="8" s="1"/>
  <c r="BQ86" i="8" a="1"/>
  <c r="BQ86" i="8" s="1"/>
  <c r="BP86" i="8" s="1"/>
  <c r="BQ85" i="8" a="1"/>
  <c r="BQ85" i="8" s="1"/>
  <c r="BP85" i="8" s="1"/>
  <c r="BQ84" i="8" a="1"/>
  <c r="BQ84" i="8" s="1"/>
  <c r="BP84" i="8" s="1"/>
  <c r="BQ83" i="8" a="1"/>
  <c r="BQ83" i="8" s="1"/>
  <c r="BP83" i="8" s="1"/>
  <c r="BQ82" i="8" a="1"/>
  <c r="BQ82" i="8" s="1"/>
  <c r="BP82" i="8" s="1"/>
  <c r="BQ81" i="8" a="1"/>
  <c r="BQ81" i="8" s="1"/>
  <c r="BP81" i="8" s="1"/>
  <c r="BQ80" i="8" a="1"/>
  <c r="BQ80" i="8" s="1"/>
  <c r="BP80" i="8" s="1"/>
  <c r="BQ79" i="8" a="1"/>
  <c r="BQ79" i="8" s="1"/>
  <c r="BP79" i="8" s="1"/>
  <c r="BQ78" i="8" a="1"/>
  <c r="BQ78" i="8" s="1"/>
  <c r="BP78" i="8" s="1"/>
  <c r="BQ77" i="8" a="1"/>
  <c r="BQ77" i="8" s="1"/>
  <c r="BP77" i="8" s="1"/>
  <c r="BQ76" i="8" a="1"/>
  <c r="BQ76" i="8" s="1"/>
  <c r="BP76" i="8" s="1"/>
  <c r="BQ75" i="8" a="1"/>
  <c r="BQ75" i="8" s="1"/>
  <c r="BP75" i="8" s="1"/>
  <c r="BQ74" i="8" a="1"/>
  <c r="BQ74" i="8" s="1"/>
  <c r="BP74" i="8" s="1"/>
  <c r="BQ73" i="8" a="1"/>
  <c r="BQ73" i="8" s="1"/>
  <c r="BP73" i="8" s="1"/>
  <c r="BQ72" i="8" a="1"/>
  <c r="BQ72" i="8" s="1"/>
  <c r="BP72" i="8" s="1"/>
  <c r="BQ71" i="8" a="1"/>
  <c r="BQ71" i="8" s="1"/>
  <c r="BP71" i="8" s="1"/>
  <c r="BQ70" i="8" a="1"/>
  <c r="BQ70" i="8" s="1"/>
  <c r="BP70" i="8" s="1"/>
  <c r="BQ69" i="8" a="1"/>
  <c r="BQ69" i="8" s="1"/>
  <c r="BP69" i="8" s="1"/>
  <c r="BQ68" i="8" a="1"/>
  <c r="BQ68" i="8" s="1"/>
  <c r="BP68" i="8" s="1"/>
  <c r="BQ67" i="8" a="1"/>
  <c r="BQ67" i="8" s="1"/>
  <c r="BP67" i="8" s="1"/>
  <c r="BQ66" i="8" a="1"/>
  <c r="BQ66" i="8" s="1"/>
  <c r="BP66" i="8" s="1"/>
  <c r="BQ65" i="8" a="1"/>
  <c r="BQ65" i="8" s="1"/>
  <c r="BP65" i="8" s="1"/>
  <c r="BQ64" i="8" a="1"/>
  <c r="BQ64" i="8" s="1"/>
  <c r="BQ63" i="8" a="1"/>
  <c r="BQ63" i="8" s="1"/>
  <c r="BP63" i="8" s="1"/>
  <c r="BQ62" i="8" a="1"/>
  <c r="BQ62" i="8" s="1"/>
  <c r="BP62" i="8" s="1"/>
  <c r="BQ61" i="8" a="1"/>
  <c r="BQ61" i="8" s="1"/>
  <c r="BP61" i="8" s="1"/>
  <c r="BQ60" i="8" a="1"/>
  <c r="BQ60" i="8" s="1"/>
  <c r="BQ59" i="8" a="1"/>
  <c r="BQ59" i="8" s="1"/>
  <c r="BP59" i="8" s="1"/>
  <c r="BQ58" i="8" a="1"/>
  <c r="BQ58" i="8" s="1"/>
  <c r="BP58" i="8" s="1"/>
  <c r="BQ57" i="8" a="1"/>
  <c r="BQ57" i="8" s="1"/>
  <c r="BP57" i="8" s="1"/>
  <c r="BQ56" i="8" a="1"/>
  <c r="BQ56" i="8" s="1"/>
  <c r="BQ55" i="8" a="1"/>
  <c r="BQ55" i="8" s="1"/>
  <c r="BP55" i="8" s="1"/>
  <c r="BQ54" i="8" a="1"/>
  <c r="BQ54" i="8" s="1"/>
  <c r="BP54" i="8" s="1"/>
  <c r="BQ53" i="8" a="1"/>
  <c r="BQ53" i="8" s="1"/>
  <c r="BP53" i="8" s="1"/>
  <c r="BQ52" i="8" a="1"/>
  <c r="BQ52" i="8" s="1"/>
  <c r="BP52" i="8" s="1"/>
  <c r="BQ51" i="8" a="1"/>
  <c r="BQ51" i="8" s="1"/>
  <c r="BP51" i="8" s="1"/>
  <c r="BQ50" i="8" a="1"/>
  <c r="BQ50" i="8" s="1"/>
  <c r="BP50" i="8" s="1"/>
  <c r="BQ49" i="8" a="1"/>
  <c r="BQ49" i="8" s="1"/>
  <c r="BP49" i="8" s="1"/>
  <c r="BQ48" i="8" a="1"/>
  <c r="BQ48" i="8" s="1"/>
  <c r="BP48" i="8" s="1"/>
  <c r="BQ47" i="8" a="1"/>
  <c r="BQ47" i="8" s="1"/>
  <c r="BP47" i="8" s="1"/>
  <c r="BQ46" i="8" a="1"/>
  <c r="BQ46" i="8" s="1"/>
  <c r="BP46" i="8" s="1"/>
  <c r="BQ45" i="8" a="1"/>
  <c r="BQ45" i="8" s="1"/>
  <c r="BP45" i="8" s="1"/>
  <c r="BQ44" i="8" a="1"/>
  <c r="BQ44" i="8" s="1"/>
  <c r="BP44" i="8" s="1"/>
  <c r="BQ43" i="8" a="1"/>
  <c r="BQ43" i="8" s="1"/>
  <c r="BP43" i="8" s="1"/>
  <c r="BQ42" i="8" a="1"/>
  <c r="BQ42" i="8" s="1"/>
  <c r="BP42" i="8" s="1"/>
  <c r="BQ41" i="8" a="1"/>
  <c r="BQ41" i="8" s="1"/>
  <c r="BP41" i="8" s="1"/>
  <c r="BQ40" i="8" a="1"/>
  <c r="BQ40" i="8" s="1"/>
  <c r="BP40" i="8" s="1"/>
  <c r="BQ39" i="8" a="1"/>
  <c r="BQ39" i="8" s="1"/>
  <c r="BP39" i="8" s="1"/>
  <c r="BQ38" i="8" a="1"/>
  <c r="BQ38" i="8" s="1"/>
  <c r="BP38" i="8" s="1"/>
  <c r="BQ37" i="8" a="1"/>
  <c r="BQ37" i="8" s="1"/>
  <c r="BP37" i="8" s="1"/>
  <c r="BQ36" i="8" a="1"/>
  <c r="BQ36" i="8" s="1"/>
  <c r="BP36" i="8" s="1"/>
  <c r="BQ35" i="8" a="1"/>
  <c r="BQ35" i="8" s="1"/>
  <c r="BQ34" i="8" a="1"/>
  <c r="BQ34" i="8" s="1"/>
  <c r="BP34" i="8" s="1"/>
  <c r="BQ33" i="8" a="1"/>
  <c r="BQ33" i="8" s="1"/>
  <c r="BP33" i="8" s="1"/>
  <c r="BQ32" i="8" a="1"/>
  <c r="BQ32" i="8" s="1"/>
  <c r="BP32" i="8" s="1"/>
  <c r="BQ31" i="8" a="1"/>
  <c r="BQ31" i="8" s="1"/>
  <c r="BP31" i="8" s="1"/>
  <c r="BQ30" i="8" a="1"/>
  <c r="BQ30" i="8" s="1"/>
  <c r="BQ29" i="8" a="1"/>
  <c r="BQ29" i="8" s="1"/>
  <c r="BP29" i="8" s="1"/>
  <c r="BQ28" i="8" a="1"/>
  <c r="BQ28" i="8" s="1"/>
  <c r="BP28" i="8" s="1"/>
  <c r="BQ27" i="8" a="1"/>
  <c r="BQ27" i="8" s="1"/>
  <c r="BP27" i="8" s="1"/>
  <c r="BQ26" i="8" a="1"/>
  <c r="BQ26" i="8" s="1"/>
  <c r="BQ25" i="8" a="1"/>
  <c r="BQ25" i="8" s="1"/>
  <c r="BP25" i="8" s="1"/>
  <c r="BQ24" i="8" a="1"/>
  <c r="BQ24" i="8" s="1"/>
  <c r="BP24" i="8" s="1"/>
  <c r="BQ23" i="8" a="1"/>
  <c r="BQ23" i="8" s="1"/>
  <c r="BP23" i="8" s="1"/>
  <c r="BQ22" i="8" a="1"/>
  <c r="BQ22" i="8" s="1"/>
  <c r="BP22" i="8" s="1"/>
  <c r="BQ21" i="8" a="1"/>
  <c r="BQ21" i="8" s="1"/>
  <c r="BP21" i="8" s="1"/>
  <c r="BQ20" i="8" a="1"/>
  <c r="BQ20" i="8" s="1"/>
  <c r="BP20" i="8" s="1"/>
  <c r="BQ19" i="8" a="1"/>
  <c r="BQ19" i="8" s="1"/>
  <c r="BP19" i="8" s="1"/>
  <c r="BQ18" i="8" a="1"/>
  <c r="BQ18" i="8" s="1"/>
  <c r="BP18" i="8" s="1"/>
  <c r="BQ17" i="8" a="1"/>
  <c r="BQ17" i="8" s="1"/>
  <c r="BP17" i="8" s="1"/>
  <c r="BQ16" i="8" a="1"/>
  <c r="BQ16" i="8" s="1"/>
  <c r="BP16" i="8" s="1"/>
  <c r="BQ15" i="8" a="1"/>
  <c r="BQ15" i="8" s="1"/>
  <c r="BP15" i="8" s="1"/>
  <c r="BQ14" i="8" a="1"/>
  <c r="BQ14" i="8" s="1"/>
  <c r="BP14" i="8" s="1"/>
  <c r="BQ13" i="8" a="1"/>
  <c r="BQ13" i="8" s="1"/>
  <c r="BP13" i="8" s="1"/>
  <c r="BQ12" i="8" a="1"/>
  <c r="BQ12" i="8" s="1"/>
  <c r="BP12" i="8" s="1"/>
  <c r="BQ11" i="8" a="1"/>
  <c r="BQ11" i="8" s="1"/>
  <c r="BP11" i="8" s="1"/>
  <c r="BQ10" i="8" a="1"/>
  <c r="BQ10" i="8" s="1"/>
  <c r="BP10" i="8" s="1"/>
  <c r="BQ9" i="8" a="1"/>
  <c r="BQ9" i="8" s="1"/>
  <c r="BP9" i="8" s="1"/>
  <c r="BQ8" i="8" a="1"/>
  <c r="BQ8" i="8" s="1"/>
  <c r="BP8" i="8" s="1"/>
  <c r="BQ7" i="8" a="1"/>
  <c r="BQ7" i="8" s="1"/>
  <c r="BP7" i="8" s="1"/>
  <c r="BQ6" i="8" a="1"/>
  <c r="BQ6" i="8" s="1"/>
  <c r="BP6" i="8" s="1"/>
  <c r="BQ5" i="8" a="1"/>
  <c r="BQ5" i="8" s="1"/>
  <c r="BQ4" i="8" a="1"/>
  <c r="BQ4" i="8" s="1"/>
  <c r="BP4" i="8" s="1"/>
  <c r="BL100" i="8" a="1"/>
  <c r="BL100" i="8" s="1"/>
  <c r="BK100" i="8" s="1"/>
  <c r="BL99" i="8" a="1"/>
  <c r="BL99" i="8" s="1"/>
  <c r="BK99" i="8" s="1"/>
  <c r="BL98" i="8" a="1"/>
  <c r="BL98" i="8" s="1"/>
  <c r="BK98" i="8" s="1"/>
  <c r="BL97" i="8" a="1"/>
  <c r="BL97" i="8" s="1"/>
  <c r="BK97" i="8" s="1"/>
  <c r="BL96" i="8" a="1"/>
  <c r="BL96" i="8" s="1"/>
  <c r="BK96" i="8" s="1"/>
  <c r="BL95" i="8" a="1"/>
  <c r="BL95" i="8" s="1"/>
  <c r="BK95" i="8" s="1"/>
  <c r="BL94" i="8" a="1"/>
  <c r="BL94" i="8" s="1"/>
  <c r="BK94" i="8" s="1"/>
  <c r="BL93" i="8" a="1"/>
  <c r="BL93" i="8" s="1"/>
  <c r="BK93" i="8" s="1"/>
  <c r="BL92" i="8" a="1"/>
  <c r="BL92" i="8" s="1"/>
  <c r="BK92" i="8" s="1"/>
  <c r="BL91" i="8" a="1"/>
  <c r="BL91" i="8" s="1"/>
  <c r="BK91" i="8" s="1"/>
  <c r="BL90" i="8" a="1"/>
  <c r="BL90" i="8" s="1"/>
  <c r="BK90" i="8" s="1"/>
  <c r="BL89" i="8" a="1"/>
  <c r="BL89" i="8" s="1"/>
  <c r="BK89" i="8" s="1"/>
  <c r="BL88" i="8" a="1"/>
  <c r="BL88" i="8" s="1"/>
  <c r="BK88" i="8" s="1"/>
  <c r="BL87" i="8" a="1"/>
  <c r="BL87" i="8" s="1"/>
  <c r="BK87" i="8" s="1"/>
  <c r="BL86" i="8" a="1"/>
  <c r="BL86" i="8" s="1"/>
  <c r="BK86" i="8" s="1"/>
  <c r="BL85" i="8" a="1"/>
  <c r="BL85" i="8" s="1"/>
  <c r="BK85" i="8" s="1"/>
  <c r="BL84" i="8" a="1"/>
  <c r="BL84" i="8" s="1"/>
  <c r="BK84" i="8" s="1"/>
  <c r="BL83" i="8" a="1"/>
  <c r="BL83" i="8" s="1"/>
  <c r="BK83" i="8" s="1"/>
  <c r="BL82" i="8" a="1"/>
  <c r="BL82" i="8" s="1"/>
  <c r="BK82" i="8" s="1"/>
  <c r="BL81" i="8" a="1"/>
  <c r="BL81" i="8" s="1"/>
  <c r="BK81" i="8" s="1"/>
  <c r="BL80" i="8" a="1"/>
  <c r="BL80" i="8" s="1"/>
  <c r="BK80" i="8" s="1"/>
  <c r="BL79" i="8" a="1"/>
  <c r="BL79" i="8" s="1"/>
  <c r="BK79" i="8" s="1"/>
  <c r="BL78" i="8" a="1"/>
  <c r="BL78" i="8" s="1"/>
  <c r="BK78" i="8" s="1"/>
  <c r="BL77" i="8" a="1"/>
  <c r="BL77" i="8" s="1"/>
  <c r="BK77" i="8" s="1"/>
  <c r="BL76" i="8" a="1"/>
  <c r="BL76" i="8" s="1"/>
  <c r="BK76" i="8" s="1"/>
  <c r="BL75" i="8" a="1"/>
  <c r="BL75" i="8" s="1"/>
  <c r="BK75" i="8" s="1"/>
  <c r="BL74" i="8" a="1"/>
  <c r="BL74" i="8" s="1"/>
  <c r="BK74" i="8" s="1"/>
  <c r="BL73" i="8" a="1"/>
  <c r="BL73" i="8" s="1"/>
  <c r="BK73" i="8" s="1"/>
  <c r="BL72" i="8" a="1"/>
  <c r="BL72" i="8" s="1"/>
  <c r="BK72" i="8" s="1"/>
  <c r="BL71" i="8" a="1"/>
  <c r="BL71" i="8" s="1"/>
  <c r="BK71" i="8" s="1"/>
  <c r="BL70" i="8" a="1"/>
  <c r="BL70" i="8" s="1"/>
  <c r="BK70" i="8" s="1"/>
  <c r="BL69" i="8" a="1"/>
  <c r="BL69" i="8" s="1"/>
  <c r="BK69" i="8" s="1"/>
  <c r="BL68" i="8" a="1"/>
  <c r="BL68" i="8" s="1"/>
  <c r="BK68" i="8" s="1"/>
  <c r="BL67" i="8" a="1"/>
  <c r="BL67" i="8" s="1"/>
  <c r="BK67" i="8" s="1"/>
  <c r="BL66" i="8" a="1"/>
  <c r="BL66" i="8" s="1"/>
  <c r="BK66" i="8" s="1"/>
  <c r="BL65" i="8" a="1"/>
  <c r="BL65" i="8" s="1"/>
  <c r="BK65" i="8" s="1"/>
  <c r="BL64" i="8" a="1"/>
  <c r="BL64" i="8" s="1"/>
  <c r="BL63" i="8" a="1"/>
  <c r="BL63" i="8" s="1"/>
  <c r="BK63" i="8" s="1"/>
  <c r="BL62" i="8" a="1"/>
  <c r="BL62" i="8" s="1"/>
  <c r="BK62" i="8" s="1"/>
  <c r="BL61" i="8" a="1"/>
  <c r="BL61" i="8" s="1"/>
  <c r="BK61" i="8" s="1"/>
  <c r="BL60" i="8" a="1"/>
  <c r="BL60" i="8" s="1"/>
  <c r="BL59" i="8" a="1"/>
  <c r="BL59" i="8" s="1"/>
  <c r="BK59" i="8" s="1"/>
  <c r="BL58" i="8" a="1"/>
  <c r="BL58" i="8" s="1"/>
  <c r="BK58" i="8" s="1"/>
  <c r="BL57" i="8" a="1"/>
  <c r="BL57" i="8" s="1"/>
  <c r="BK57" i="8" s="1"/>
  <c r="BL56" i="8" a="1"/>
  <c r="BL56" i="8" s="1"/>
  <c r="BL55" i="8" a="1"/>
  <c r="BL55" i="8" s="1"/>
  <c r="BK55" i="8" s="1"/>
  <c r="BL54" i="8" a="1"/>
  <c r="BL54" i="8" s="1"/>
  <c r="BK54" i="8" s="1"/>
  <c r="BL53" i="8" a="1"/>
  <c r="BL53" i="8" s="1"/>
  <c r="BK53" i="8" s="1"/>
  <c r="BL52" i="8" a="1"/>
  <c r="BL52" i="8" s="1"/>
  <c r="BK52" i="8" s="1"/>
  <c r="BL51" i="8" a="1"/>
  <c r="BL51" i="8" s="1"/>
  <c r="BK51" i="8" s="1"/>
  <c r="BL50" i="8" a="1"/>
  <c r="BL50" i="8" s="1"/>
  <c r="BK50" i="8" s="1"/>
  <c r="BL49" i="8" a="1"/>
  <c r="BL49" i="8" s="1"/>
  <c r="BK49" i="8" s="1"/>
  <c r="BL48" i="8" a="1"/>
  <c r="BL48" i="8" s="1"/>
  <c r="BK48" i="8" s="1"/>
  <c r="BL47" i="8" a="1"/>
  <c r="BL47" i="8" s="1"/>
  <c r="BK47" i="8" s="1"/>
  <c r="BL46" i="8" a="1"/>
  <c r="BL46" i="8" s="1"/>
  <c r="BK46" i="8" s="1"/>
  <c r="BL45" i="8" a="1"/>
  <c r="BL45" i="8" s="1"/>
  <c r="BK45" i="8" s="1"/>
  <c r="BL44" i="8" a="1"/>
  <c r="BL44" i="8" s="1"/>
  <c r="BK44" i="8" s="1"/>
  <c r="BL43" i="8" a="1"/>
  <c r="BL43" i="8" s="1"/>
  <c r="BK43" i="8" s="1"/>
  <c r="BL42" i="8" a="1"/>
  <c r="BL42" i="8" s="1"/>
  <c r="BK42" i="8" s="1"/>
  <c r="BL41" i="8" a="1"/>
  <c r="BL41" i="8" s="1"/>
  <c r="BK41" i="8" s="1"/>
  <c r="BL40" i="8" a="1"/>
  <c r="BL40" i="8" s="1"/>
  <c r="BK40" i="8" s="1"/>
  <c r="BL39" i="8" a="1"/>
  <c r="BL39" i="8" s="1"/>
  <c r="BK39" i="8" s="1"/>
  <c r="BL38" i="8" a="1"/>
  <c r="BL38" i="8" s="1"/>
  <c r="BK38" i="8" s="1"/>
  <c r="BL37" i="8" a="1"/>
  <c r="BL37" i="8" s="1"/>
  <c r="BK37" i="8" s="1"/>
  <c r="BL36" i="8" a="1"/>
  <c r="BL36" i="8" s="1"/>
  <c r="BK36" i="8" s="1"/>
  <c r="BL35" i="8" a="1"/>
  <c r="BL35" i="8" s="1"/>
  <c r="BL34" i="8" a="1"/>
  <c r="BL34" i="8" s="1"/>
  <c r="BK34" i="8" s="1"/>
  <c r="BL33" i="8" a="1"/>
  <c r="BL33" i="8" s="1"/>
  <c r="BK33" i="8" s="1"/>
  <c r="BL32" i="8" a="1"/>
  <c r="BL32" i="8" s="1"/>
  <c r="BK32" i="8" s="1"/>
  <c r="BL31" i="8" a="1"/>
  <c r="BL31" i="8" s="1"/>
  <c r="BK31" i="8" s="1"/>
  <c r="BL30" i="8" a="1"/>
  <c r="BL30" i="8" s="1"/>
  <c r="BL29" i="8" a="1"/>
  <c r="BL29" i="8" s="1"/>
  <c r="BK29" i="8" s="1"/>
  <c r="BL28" i="8" a="1"/>
  <c r="BL28" i="8" s="1"/>
  <c r="BK28" i="8" s="1"/>
  <c r="BL27" i="8" a="1"/>
  <c r="BL27" i="8" s="1"/>
  <c r="BK27" i="8" s="1"/>
  <c r="BL26" i="8" a="1"/>
  <c r="BL26" i="8" s="1"/>
  <c r="BL25" i="8" a="1"/>
  <c r="BL25" i="8" s="1"/>
  <c r="BK25" i="8" s="1"/>
  <c r="BL24" i="8" a="1"/>
  <c r="BL24" i="8" s="1"/>
  <c r="BK24" i="8" s="1"/>
  <c r="BL23" i="8" a="1"/>
  <c r="BL23" i="8" s="1"/>
  <c r="BK23" i="8" s="1"/>
  <c r="BL22" i="8" a="1"/>
  <c r="BL22" i="8" s="1"/>
  <c r="BK22" i="8" s="1"/>
  <c r="BL21" i="8" a="1"/>
  <c r="BL21" i="8" s="1"/>
  <c r="BK21" i="8" s="1"/>
  <c r="BL20" i="8" a="1"/>
  <c r="BL20" i="8" s="1"/>
  <c r="BK20" i="8" s="1"/>
  <c r="BL19" i="8" a="1"/>
  <c r="BL19" i="8" s="1"/>
  <c r="BK19" i="8" s="1"/>
  <c r="BL18" i="8" a="1"/>
  <c r="BL18" i="8" s="1"/>
  <c r="BK18" i="8" s="1"/>
  <c r="BL17" i="8" a="1"/>
  <c r="BL17" i="8" s="1"/>
  <c r="BK17" i="8" s="1"/>
  <c r="BL16" i="8" a="1"/>
  <c r="BL16" i="8" s="1"/>
  <c r="BK16" i="8" s="1"/>
  <c r="BL15" i="8" a="1"/>
  <c r="BL15" i="8" s="1"/>
  <c r="BK15" i="8" s="1"/>
  <c r="BL14" i="8" a="1"/>
  <c r="BL14" i="8" s="1"/>
  <c r="BK14" i="8" s="1"/>
  <c r="BL13" i="8" a="1"/>
  <c r="BL13" i="8" s="1"/>
  <c r="BK13" i="8" s="1"/>
  <c r="BL12" i="8" a="1"/>
  <c r="BL12" i="8" s="1"/>
  <c r="BK12" i="8" s="1"/>
  <c r="BL11" i="8" a="1"/>
  <c r="BL11" i="8" s="1"/>
  <c r="BK11" i="8" s="1"/>
  <c r="BL10" i="8" a="1"/>
  <c r="BL10" i="8" s="1"/>
  <c r="BK10" i="8" s="1"/>
  <c r="BL9" i="8" a="1"/>
  <c r="BL9" i="8" s="1"/>
  <c r="BK9" i="8" s="1"/>
  <c r="BL8" i="8" a="1"/>
  <c r="BL8" i="8" s="1"/>
  <c r="BK8" i="8" s="1"/>
  <c r="BL7" i="8" a="1"/>
  <c r="BL7" i="8" s="1"/>
  <c r="BK7" i="8" s="1"/>
  <c r="BL6" i="8" a="1"/>
  <c r="BL6" i="8" s="1"/>
  <c r="BK6" i="8" s="1"/>
  <c r="BL5" i="8" a="1"/>
  <c r="BL5" i="8" s="1"/>
  <c r="BL4" i="8" a="1"/>
  <c r="BL4" i="8" s="1"/>
  <c r="BK4" i="8" s="1"/>
  <c r="BG100" i="8" a="1"/>
  <c r="BG100" i="8" s="1"/>
  <c r="BF100" i="8" s="1"/>
  <c r="BG99" i="8" a="1"/>
  <c r="BG99" i="8" s="1"/>
  <c r="BF99" i="8" s="1"/>
  <c r="BG98" i="8" a="1"/>
  <c r="BG98" i="8" s="1"/>
  <c r="BF98" i="8" s="1"/>
  <c r="BG97" i="8" a="1"/>
  <c r="BG97" i="8" s="1"/>
  <c r="BF97" i="8" s="1"/>
  <c r="BG96" i="8" a="1"/>
  <c r="BG96" i="8" s="1"/>
  <c r="BF96" i="8" s="1"/>
  <c r="BG95" i="8" a="1"/>
  <c r="BG95" i="8" s="1"/>
  <c r="BF95" i="8" s="1"/>
  <c r="BG94" i="8" a="1"/>
  <c r="BG94" i="8" s="1"/>
  <c r="BF94" i="8" s="1"/>
  <c r="BG93" i="8" a="1"/>
  <c r="BG93" i="8" s="1"/>
  <c r="BF93" i="8" s="1"/>
  <c r="BG92" i="8" a="1"/>
  <c r="BG92" i="8" s="1"/>
  <c r="BF92" i="8" s="1"/>
  <c r="BG91" i="8" a="1"/>
  <c r="BG91" i="8" s="1"/>
  <c r="BF91" i="8" s="1"/>
  <c r="BG90" i="8" a="1"/>
  <c r="BG90" i="8" s="1"/>
  <c r="BF90" i="8" s="1"/>
  <c r="BG89" i="8" a="1"/>
  <c r="BG89" i="8" s="1"/>
  <c r="BF89" i="8" s="1"/>
  <c r="BG88" i="8" a="1"/>
  <c r="BG88" i="8" s="1"/>
  <c r="BF88" i="8" s="1"/>
  <c r="BG87" i="8" a="1"/>
  <c r="BG87" i="8" s="1"/>
  <c r="BF87" i="8" s="1"/>
  <c r="BG86" i="8" a="1"/>
  <c r="BG86" i="8" s="1"/>
  <c r="BF86" i="8" s="1"/>
  <c r="BG85" i="8" a="1"/>
  <c r="BG85" i="8" s="1"/>
  <c r="BF85" i="8" s="1"/>
  <c r="BG84" i="8" a="1"/>
  <c r="BG84" i="8" s="1"/>
  <c r="BF84" i="8" s="1"/>
  <c r="BG83" i="8" a="1"/>
  <c r="BG83" i="8" s="1"/>
  <c r="BF83" i="8" s="1"/>
  <c r="BG82" i="8" a="1"/>
  <c r="BG82" i="8" s="1"/>
  <c r="BF82" i="8" s="1"/>
  <c r="BG81" i="8" a="1"/>
  <c r="BG81" i="8" s="1"/>
  <c r="BF81" i="8" s="1"/>
  <c r="BG80" i="8" a="1"/>
  <c r="BG80" i="8" s="1"/>
  <c r="BF80" i="8" s="1"/>
  <c r="BG79" i="8" a="1"/>
  <c r="BG79" i="8" s="1"/>
  <c r="BF79" i="8" s="1"/>
  <c r="BG78" i="8" a="1"/>
  <c r="BG78" i="8" s="1"/>
  <c r="BF78" i="8" s="1"/>
  <c r="BG77" i="8" a="1"/>
  <c r="BG77" i="8" s="1"/>
  <c r="BF77" i="8" s="1"/>
  <c r="BG76" i="8" a="1"/>
  <c r="BG76" i="8" s="1"/>
  <c r="BF76" i="8" s="1"/>
  <c r="BG75" i="8" a="1"/>
  <c r="BG75" i="8" s="1"/>
  <c r="BF75" i="8" s="1"/>
  <c r="BG74" i="8" a="1"/>
  <c r="BG74" i="8" s="1"/>
  <c r="BF74" i="8" s="1"/>
  <c r="BG73" i="8" a="1"/>
  <c r="BG73" i="8" s="1"/>
  <c r="BF73" i="8" s="1"/>
  <c r="BG72" i="8" a="1"/>
  <c r="BG72" i="8" s="1"/>
  <c r="BF72" i="8" s="1"/>
  <c r="BG71" i="8" a="1"/>
  <c r="BG71" i="8" s="1"/>
  <c r="BF71" i="8" s="1"/>
  <c r="BG70" i="8" a="1"/>
  <c r="BG70" i="8" s="1"/>
  <c r="BF70" i="8" s="1"/>
  <c r="BG69" i="8" a="1"/>
  <c r="BG69" i="8" s="1"/>
  <c r="BF69" i="8" s="1"/>
  <c r="BG68" i="8" a="1"/>
  <c r="BG68" i="8" s="1"/>
  <c r="BF68" i="8" s="1"/>
  <c r="BG67" i="8" a="1"/>
  <c r="BG67" i="8" s="1"/>
  <c r="BF67" i="8" s="1"/>
  <c r="BG66" i="8" a="1"/>
  <c r="BG66" i="8" s="1"/>
  <c r="BF66" i="8" s="1"/>
  <c r="BG65" i="8" a="1"/>
  <c r="BG65" i="8" s="1"/>
  <c r="BF65" i="8" s="1"/>
  <c r="BG64" i="8" a="1"/>
  <c r="BG64" i="8" s="1"/>
  <c r="BG63" i="8" a="1"/>
  <c r="BG63" i="8" s="1"/>
  <c r="BF63" i="8" s="1"/>
  <c r="BG62" i="8" a="1"/>
  <c r="BG62" i="8" s="1"/>
  <c r="BF62" i="8" s="1"/>
  <c r="BG61" i="8" a="1"/>
  <c r="BG61" i="8" s="1"/>
  <c r="BF61" i="8" s="1"/>
  <c r="BG60" i="8" a="1"/>
  <c r="BG60" i="8" s="1"/>
  <c r="BG59" i="8" a="1"/>
  <c r="BG59" i="8" s="1"/>
  <c r="BF59" i="8" s="1"/>
  <c r="BG58" i="8" a="1"/>
  <c r="BG58" i="8" s="1"/>
  <c r="BF58" i="8" s="1"/>
  <c r="BG57" i="8" a="1"/>
  <c r="BG57" i="8" s="1"/>
  <c r="BF57" i="8" s="1"/>
  <c r="BG56" i="8" a="1"/>
  <c r="BG56" i="8" s="1"/>
  <c r="BG55" i="8" a="1"/>
  <c r="BG55" i="8" s="1"/>
  <c r="BF55" i="8" s="1"/>
  <c r="BG54" i="8" a="1"/>
  <c r="BG54" i="8" s="1"/>
  <c r="BF54" i="8" s="1"/>
  <c r="BG53" i="8" a="1"/>
  <c r="BG53" i="8" s="1"/>
  <c r="BF53" i="8" s="1"/>
  <c r="BG52" i="8" a="1"/>
  <c r="BG52" i="8" s="1"/>
  <c r="BF52" i="8" s="1"/>
  <c r="BG51" i="8" a="1"/>
  <c r="BG51" i="8" s="1"/>
  <c r="BF51" i="8" s="1"/>
  <c r="BG50" i="8" a="1"/>
  <c r="BG50" i="8" s="1"/>
  <c r="BF50" i="8" s="1"/>
  <c r="BG49" i="8" a="1"/>
  <c r="BG49" i="8" s="1"/>
  <c r="BF49" i="8" s="1"/>
  <c r="BG48" i="8" a="1"/>
  <c r="BG48" i="8" s="1"/>
  <c r="BF48" i="8" s="1"/>
  <c r="BG47" i="8" a="1"/>
  <c r="BG47" i="8" s="1"/>
  <c r="BF47" i="8" s="1"/>
  <c r="BG46" i="8" a="1"/>
  <c r="BG46" i="8" s="1"/>
  <c r="BF46" i="8" s="1"/>
  <c r="BG45" i="8" a="1"/>
  <c r="BG45" i="8" s="1"/>
  <c r="BF45" i="8" s="1"/>
  <c r="BG44" i="8" a="1"/>
  <c r="BG44" i="8" s="1"/>
  <c r="BF44" i="8" s="1"/>
  <c r="BG43" i="8" a="1"/>
  <c r="BG43" i="8" s="1"/>
  <c r="BF43" i="8" s="1"/>
  <c r="BG42" i="8" a="1"/>
  <c r="BG42" i="8" s="1"/>
  <c r="BF42" i="8" s="1"/>
  <c r="BG41" i="8" a="1"/>
  <c r="BG41" i="8" s="1"/>
  <c r="BF41" i="8" s="1"/>
  <c r="BG40" i="8" a="1"/>
  <c r="BG40" i="8" s="1"/>
  <c r="BF40" i="8" s="1"/>
  <c r="BG39" i="8" a="1"/>
  <c r="BG39" i="8" s="1"/>
  <c r="BF39" i="8" s="1"/>
  <c r="BG38" i="8" a="1"/>
  <c r="BG38" i="8" s="1"/>
  <c r="BF38" i="8" s="1"/>
  <c r="BG37" i="8" a="1"/>
  <c r="BG37" i="8" s="1"/>
  <c r="BF37" i="8" s="1"/>
  <c r="BG36" i="8" a="1"/>
  <c r="BG36" i="8" s="1"/>
  <c r="BF36" i="8" s="1"/>
  <c r="BG35" i="8" a="1"/>
  <c r="BG35" i="8" s="1"/>
  <c r="BG34" i="8" a="1"/>
  <c r="BG34" i="8" s="1"/>
  <c r="BF34" i="8" s="1"/>
  <c r="BG33" i="8" a="1"/>
  <c r="BG33" i="8" s="1"/>
  <c r="BF33" i="8" s="1"/>
  <c r="BG32" i="8" a="1"/>
  <c r="BG32" i="8" s="1"/>
  <c r="BF32" i="8" s="1"/>
  <c r="BG31" i="8" a="1"/>
  <c r="BG31" i="8" s="1"/>
  <c r="BF31" i="8" s="1"/>
  <c r="BG30" i="8" a="1"/>
  <c r="BG30" i="8" s="1"/>
  <c r="BG29" i="8" a="1"/>
  <c r="BG29" i="8" s="1"/>
  <c r="BF29" i="8" s="1"/>
  <c r="BG28" i="8" a="1"/>
  <c r="BG28" i="8" s="1"/>
  <c r="BF28" i="8" s="1"/>
  <c r="BG27" i="8" a="1"/>
  <c r="BG27" i="8" s="1"/>
  <c r="BF27" i="8" s="1"/>
  <c r="BG26" i="8" a="1"/>
  <c r="BG26" i="8" s="1"/>
  <c r="BG25" i="8" a="1"/>
  <c r="BG25" i="8" s="1"/>
  <c r="BF25" i="8" s="1"/>
  <c r="BG24" i="8" a="1"/>
  <c r="BG24" i="8" s="1"/>
  <c r="BF24" i="8" s="1"/>
  <c r="BG23" i="8" a="1"/>
  <c r="BG23" i="8" s="1"/>
  <c r="BF23" i="8" s="1"/>
  <c r="BG22" i="8" a="1"/>
  <c r="BG22" i="8" s="1"/>
  <c r="BF22" i="8" s="1"/>
  <c r="BG21" i="8" a="1"/>
  <c r="BG21" i="8" s="1"/>
  <c r="BF21" i="8" s="1"/>
  <c r="BG20" i="8" a="1"/>
  <c r="BG20" i="8" s="1"/>
  <c r="BF20" i="8" s="1"/>
  <c r="BG19" i="8" a="1"/>
  <c r="BG19" i="8" s="1"/>
  <c r="BF19" i="8" s="1"/>
  <c r="BG18" i="8" a="1"/>
  <c r="BG18" i="8" s="1"/>
  <c r="BF18" i="8" s="1"/>
  <c r="BG17" i="8" a="1"/>
  <c r="BG17" i="8" s="1"/>
  <c r="BF17" i="8" s="1"/>
  <c r="BG16" i="8" a="1"/>
  <c r="BG16" i="8" s="1"/>
  <c r="BF16" i="8" s="1"/>
  <c r="BG15" i="8" a="1"/>
  <c r="BG15" i="8" s="1"/>
  <c r="BF15" i="8" s="1"/>
  <c r="BG14" i="8" a="1"/>
  <c r="BG14" i="8" s="1"/>
  <c r="BF14" i="8" s="1"/>
  <c r="BG13" i="8" a="1"/>
  <c r="BG13" i="8" s="1"/>
  <c r="BF13" i="8" s="1"/>
  <c r="BG12" i="8" a="1"/>
  <c r="BG12" i="8" s="1"/>
  <c r="BF12" i="8" s="1"/>
  <c r="BG11" i="8" a="1"/>
  <c r="BG11" i="8" s="1"/>
  <c r="BF11" i="8" s="1"/>
  <c r="BG10" i="8" a="1"/>
  <c r="BG10" i="8" s="1"/>
  <c r="BF10" i="8" s="1"/>
  <c r="BG9" i="8" a="1"/>
  <c r="BG9" i="8" s="1"/>
  <c r="BF9" i="8" s="1"/>
  <c r="BG8" i="8" a="1"/>
  <c r="BG8" i="8" s="1"/>
  <c r="BF8" i="8" s="1"/>
  <c r="BG7" i="8" a="1"/>
  <c r="BG7" i="8" s="1"/>
  <c r="BF7" i="8" s="1"/>
  <c r="BG6" i="8" a="1"/>
  <c r="BG6" i="8" s="1"/>
  <c r="BF6" i="8" s="1"/>
  <c r="BG5" i="8" a="1"/>
  <c r="BG5" i="8" s="1"/>
  <c r="BG4" i="8" a="1"/>
  <c r="BG4" i="8" s="1"/>
  <c r="BF4" i="8" s="1"/>
  <c r="BB100" i="8" a="1"/>
  <c r="BB100" i="8" s="1"/>
  <c r="BA100" i="8" s="1"/>
  <c r="BB99" i="8" a="1"/>
  <c r="BB99" i="8" s="1"/>
  <c r="BA99" i="8" s="1"/>
  <c r="BB98" i="8" a="1"/>
  <c r="BB98" i="8" s="1"/>
  <c r="BA98" i="8" s="1"/>
  <c r="BB97" i="8" a="1"/>
  <c r="BB97" i="8" s="1"/>
  <c r="BA97" i="8" s="1"/>
  <c r="BB96" i="8" a="1"/>
  <c r="BB96" i="8" s="1"/>
  <c r="BA96" i="8" s="1"/>
  <c r="BB95" i="8" a="1"/>
  <c r="BB95" i="8" s="1"/>
  <c r="BA95" i="8" s="1"/>
  <c r="BB94" i="8" a="1"/>
  <c r="BB94" i="8" s="1"/>
  <c r="BA94" i="8" s="1"/>
  <c r="BB93" i="8" a="1"/>
  <c r="BB93" i="8" s="1"/>
  <c r="BA93" i="8" s="1"/>
  <c r="BB92" i="8" a="1"/>
  <c r="BB92" i="8" s="1"/>
  <c r="BA92" i="8" s="1"/>
  <c r="BB91" i="8" a="1"/>
  <c r="BB91" i="8" s="1"/>
  <c r="BA91" i="8" s="1"/>
  <c r="BB90" i="8" a="1"/>
  <c r="BB90" i="8" s="1"/>
  <c r="BA90" i="8" s="1"/>
  <c r="BB89" i="8" a="1"/>
  <c r="BB89" i="8" s="1"/>
  <c r="BA89" i="8" s="1"/>
  <c r="BB88" i="8" a="1"/>
  <c r="BB88" i="8" s="1"/>
  <c r="BA88" i="8" s="1"/>
  <c r="BB87" i="8" a="1"/>
  <c r="BB87" i="8" s="1"/>
  <c r="BA87" i="8" s="1"/>
  <c r="BB86" i="8" a="1"/>
  <c r="BB86" i="8" s="1"/>
  <c r="BA86" i="8" s="1"/>
  <c r="BB85" i="8" a="1"/>
  <c r="BB85" i="8" s="1"/>
  <c r="BA85" i="8" s="1"/>
  <c r="BB84" i="8" a="1"/>
  <c r="BB84" i="8" s="1"/>
  <c r="BA84" i="8" s="1"/>
  <c r="BB83" i="8" a="1"/>
  <c r="BB83" i="8" s="1"/>
  <c r="BA83" i="8" s="1"/>
  <c r="BB82" i="8" a="1"/>
  <c r="BB82" i="8" s="1"/>
  <c r="BA82" i="8" s="1"/>
  <c r="BB81" i="8" a="1"/>
  <c r="BB81" i="8" s="1"/>
  <c r="BA81" i="8" s="1"/>
  <c r="BB80" i="8" a="1"/>
  <c r="BB80" i="8" s="1"/>
  <c r="BA80" i="8" s="1"/>
  <c r="BB79" i="8" a="1"/>
  <c r="BB79" i="8" s="1"/>
  <c r="BA79" i="8" s="1"/>
  <c r="BB78" i="8" a="1"/>
  <c r="BB78" i="8" s="1"/>
  <c r="BA78" i="8" s="1"/>
  <c r="BB77" i="8" a="1"/>
  <c r="BB77" i="8" s="1"/>
  <c r="BA77" i="8" s="1"/>
  <c r="BB76" i="8" a="1"/>
  <c r="BB76" i="8" s="1"/>
  <c r="BA76" i="8" s="1"/>
  <c r="BB75" i="8" a="1"/>
  <c r="BB75" i="8" s="1"/>
  <c r="BA75" i="8" s="1"/>
  <c r="BB74" i="8" a="1"/>
  <c r="BB74" i="8" s="1"/>
  <c r="BA74" i="8" s="1"/>
  <c r="BB73" i="8" a="1"/>
  <c r="BB73" i="8" s="1"/>
  <c r="BA73" i="8" s="1"/>
  <c r="BB72" i="8" a="1"/>
  <c r="BB72" i="8" s="1"/>
  <c r="BA72" i="8" s="1"/>
  <c r="BB71" i="8" a="1"/>
  <c r="BB71" i="8" s="1"/>
  <c r="BA71" i="8" s="1"/>
  <c r="BB70" i="8" a="1"/>
  <c r="BB70" i="8" s="1"/>
  <c r="BA70" i="8" s="1"/>
  <c r="BB69" i="8" a="1"/>
  <c r="BB69" i="8" s="1"/>
  <c r="BA69" i="8" s="1"/>
  <c r="BB68" i="8" a="1"/>
  <c r="BB68" i="8" s="1"/>
  <c r="BA68" i="8" s="1"/>
  <c r="BB67" i="8" a="1"/>
  <c r="BB67" i="8" s="1"/>
  <c r="BA67" i="8" s="1"/>
  <c r="BB66" i="8" a="1"/>
  <c r="BB66" i="8" s="1"/>
  <c r="BA66" i="8" s="1"/>
  <c r="BB65" i="8" a="1"/>
  <c r="BB65" i="8" s="1"/>
  <c r="BA65" i="8" s="1"/>
  <c r="BB64" i="8" a="1"/>
  <c r="BB64" i="8" s="1"/>
  <c r="BB63" i="8" a="1"/>
  <c r="BB63" i="8" s="1"/>
  <c r="BA63" i="8" s="1"/>
  <c r="BB62" i="8" a="1"/>
  <c r="BB62" i="8" s="1"/>
  <c r="BA62" i="8" s="1"/>
  <c r="BB61" i="8" a="1"/>
  <c r="BB61" i="8" s="1"/>
  <c r="BA61" i="8" s="1"/>
  <c r="BB60" i="8" a="1"/>
  <c r="BB60" i="8" s="1"/>
  <c r="BB59" i="8" a="1"/>
  <c r="BB59" i="8" s="1"/>
  <c r="BA59" i="8" s="1"/>
  <c r="BB58" i="8" a="1"/>
  <c r="BB58" i="8" s="1"/>
  <c r="BA58" i="8" s="1"/>
  <c r="BB57" i="8" a="1"/>
  <c r="BB57" i="8" s="1"/>
  <c r="BA57" i="8" s="1"/>
  <c r="BB56" i="8" a="1"/>
  <c r="BB56" i="8" s="1"/>
  <c r="BB55" i="8" a="1"/>
  <c r="BB55" i="8" s="1"/>
  <c r="BA55" i="8" s="1"/>
  <c r="BB54" i="8" a="1"/>
  <c r="BB54" i="8" s="1"/>
  <c r="BA54" i="8" s="1"/>
  <c r="BB53" i="8" a="1"/>
  <c r="BB53" i="8" s="1"/>
  <c r="BA53" i="8" s="1"/>
  <c r="BB52" i="8" a="1"/>
  <c r="BB52" i="8" s="1"/>
  <c r="BA52" i="8" s="1"/>
  <c r="BB51" i="8" a="1"/>
  <c r="BB51" i="8" s="1"/>
  <c r="BA51" i="8" s="1"/>
  <c r="BB50" i="8" a="1"/>
  <c r="BB50" i="8" s="1"/>
  <c r="BA50" i="8" s="1"/>
  <c r="BB49" i="8" a="1"/>
  <c r="BB49" i="8" s="1"/>
  <c r="BA49" i="8" s="1"/>
  <c r="BB48" i="8" a="1"/>
  <c r="BB48" i="8" s="1"/>
  <c r="BA48" i="8" s="1"/>
  <c r="BB47" i="8" a="1"/>
  <c r="BB47" i="8" s="1"/>
  <c r="BA47" i="8" s="1"/>
  <c r="BB46" i="8" a="1"/>
  <c r="BB46" i="8" s="1"/>
  <c r="BA46" i="8" s="1"/>
  <c r="BB45" i="8" a="1"/>
  <c r="BB45" i="8" s="1"/>
  <c r="BA45" i="8" s="1"/>
  <c r="BB44" i="8" a="1"/>
  <c r="BB44" i="8" s="1"/>
  <c r="BA44" i="8" s="1"/>
  <c r="BB43" i="8" a="1"/>
  <c r="BB43" i="8" s="1"/>
  <c r="BA43" i="8" s="1"/>
  <c r="BB42" i="8" a="1"/>
  <c r="BB42" i="8" s="1"/>
  <c r="BA42" i="8" s="1"/>
  <c r="BB41" i="8" a="1"/>
  <c r="BB41" i="8" s="1"/>
  <c r="BA41" i="8" s="1"/>
  <c r="BB40" i="8" a="1"/>
  <c r="BB40" i="8" s="1"/>
  <c r="BA40" i="8" s="1"/>
  <c r="BB39" i="8" a="1"/>
  <c r="BB39" i="8" s="1"/>
  <c r="BA39" i="8" s="1"/>
  <c r="BB38" i="8" a="1"/>
  <c r="BB38" i="8" s="1"/>
  <c r="BA38" i="8" s="1"/>
  <c r="BB37" i="8" a="1"/>
  <c r="BB37" i="8" s="1"/>
  <c r="BA37" i="8" s="1"/>
  <c r="BB36" i="8" a="1"/>
  <c r="BB36" i="8" s="1"/>
  <c r="BA36" i="8" s="1"/>
  <c r="BB35" i="8" a="1"/>
  <c r="BB35" i="8" s="1"/>
  <c r="BB34" i="8" a="1"/>
  <c r="BB34" i="8" s="1"/>
  <c r="BA34" i="8" s="1"/>
  <c r="BB33" i="8" a="1"/>
  <c r="BB33" i="8" s="1"/>
  <c r="BA33" i="8" s="1"/>
  <c r="BB32" i="8" a="1"/>
  <c r="BB32" i="8" s="1"/>
  <c r="BA32" i="8" s="1"/>
  <c r="BB31" i="8" a="1"/>
  <c r="BB31" i="8" s="1"/>
  <c r="BA31" i="8" s="1"/>
  <c r="BB30" i="8" a="1"/>
  <c r="BB30" i="8" s="1"/>
  <c r="BB29" i="8" a="1"/>
  <c r="BB29" i="8" s="1"/>
  <c r="BA29" i="8" s="1"/>
  <c r="BB28" i="8" a="1"/>
  <c r="BB28" i="8" s="1"/>
  <c r="BA28" i="8" s="1"/>
  <c r="BB27" i="8" a="1"/>
  <c r="BB27" i="8" s="1"/>
  <c r="BA27" i="8" s="1"/>
  <c r="BB26" i="8" a="1"/>
  <c r="BB26" i="8" s="1"/>
  <c r="BB25" i="8" a="1"/>
  <c r="BB25" i="8" s="1"/>
  <c r="BA25" i="8" s="1"/>
  <c r="BB24" i="8" a="1"/>
  <c r="BB24" i="8" s="1"/>
  <c r="BA24" i="8" s="1"/>
  <c r="BB23" i="8" a="1"/>
  <c r="BB23" i="8" s="1"/>
  <c r="BA23" i="8" s="1"/>
  <c r="BB22" i="8" a="1"/>
  <c r="BB22" i="8" s="1"/>
  <c r="BA22" i="8" s="1"/>
  <c r="BB21" i="8" a="1"/>
  <c r="BB21" i="8" s="1"/>
  <c r="BA21" i="8" s="1"/>
  <c r="BB20" i="8" a="1"/>
  <c r="BB20" i="8" s="1"/>
  <c r="BA20" i="8" s="1"/>
  <c r="BB19" i="8" a="1"/>
  <c r="BB19" i="8" s="1"/>
  <c r="BA19" i="8" s="1"/>
  <c r="BB18" i="8" a="1"/>
  <c r="BB18" i="8" s="1"/>
  <c r="BA18" i="8" s="1"/>
  <c r="BB17" i="8" a="1"/>
  <c r="BB17" i="8" s="1"/>
  <c r="BA17" i="8" s="1"/>
  <c r="BB16" i="8" a="1"/>
  <c r="BB16" i="8" s="1"/>
  <c r="BA16" i="8" s="1"/>
  <c r="BB15" i="8" a="1"/>
  <c r="BB15" i="8" s="1"/>
  <c r="BA15" i="8" s="1"/>
  <c r="BB14" i="8" a="1"/>
  <c r="BB14" i="8" s="1"/>
  <c r="BA14" i="8" s="1"/>
  <c r="BB13" i="8" a="1"/>
  <c r="BB13" i="8" s="1"/>
  <c r="BA13" i="8" s="1"/>
  <c r="BB12" i="8" a="1"/>
  <c r="BB12" i="8" s="1"/>
  <c r="BA12" i="8" s="1"/>
  <c r="BB11" i="8" a="1"/>
  <c r="BB11" i="8" s="1"/>
  <c r="BA11" i="8" s="1"/>
  <c r="BB10" i="8" a="1"/>
  <c r="BB10" i="8" s="1"/>
  <c r="BA10" i="8" s="1"/>
  <c r="BB9" i="8" a="1"/>
  <c r="BB9" i="8" s="1"/>
  <c r="BA9" i="8" s="1"/>
  <c r="BB8" i="8" a="1"/>
  <c r="BB8" i="8" s="1"/>
  <c r="BA8" i="8" s="1"/>
  <c r="BB7" i="8" a="1"/>
  <c r="BB7" i="8" s="1"/>
  <c r="BA7" i="8" s="1"/>
  <c r="BB6" i="8" a="1"/>
  <c r="BB6" i="8" s="1"/>
  <c r="BA6" i="8" s="1"/>
  <c r="BB5" i="8" a="1"/>
  <c r="BB5" i="8" s="1"/>
  <c r="BB4" i="8" a="1"/>
  <c r="BB4" i="8" s="1"/>
  <c r="BA4" i="8" s="1"/>
  <c r="AW100" i="8" a="1"/>
  <c r="AW100" i="8" s="1"/>
  <c r="AV100" i="8" s="1"/>
  <c r="AW99" i="8" a="1"/>
  <c r="AW99" i="8" s="1"/>
  <c r="AV99" i="8" s="1"/>
  <c r="AW98" i="8" a="1"/>
  <c r="AW98" i="8" s="1"/>
  <c r="AV98" i="8" s="1"/>
  <c r="AW97" i="8" a="1"/>
  <c r="AW97" i="8" s="1"/>
  <c r="AV97" i="8" s="1"/>
  <c r="AW96" i="8" a="1"/>
  <c r="AW96" i="8" s="1"/>
  <c r="AV96" i="8" s="1"/>
  <c r="AW95" i="8" a="1"/>
  <c r="AW95" i="8" s="1"/>
  <c r="AV95" i="8" s="1"/>
  <c r="AW94" i="8" a="1"/>
  <c r="AW94" i="8" s="1"/>
  <c r="AV94" i="8" s="1"/>
  <c r="AW93" i="8" a="1"/>
  <c r="AW93" i="8" s="1"/>
  <c r="AV93" i="8" s="1"/>
  <c r="AW92" i="8" a="1"/>
  <c r="AW92" i="8" s="1"/>
  <c r="AV92" i="8" s="1"/>
  <c r="AW91" i="8" a="1"/>
  <c r="AW91" i="8" s="1"/>
  <c r="AV91" i="8" s="1"/>
  <c r="AW90" i="8" a="1"/>
  <c r="AW90" i="8" s="1"/>
  <c r="AV90" i="8" s="1"/>
  <c r="AW89" i="8" a="1"/>
  <c r="AW89" i="8" s="1"/>
  <c r="AV89" i="8" s="1"/>
  <c r="AW88" i="8" a="1"/>
  <c r="AW88" i="8" s="1"/>
  <c r="AV88" i="8" s="1"/>
  <c r="AW87" i="8" a="1"/>
  <c r="AW87" i="8" s="1"/>
  <c r="AV87" i="8" s="1"/>
  <c r="AW86" i="8" a="1"/>
  <c r="AW86" i="8" s="1"/>
  <c r="AV86" i="8" s="1"/>
  <c r="AW85" i="8" a="1"/>
  <c r="AW85" i="8" s="1"/>
  <c r="AV85" i="8" s="1"/>
  <c r="AW84" i="8" a="1"/>
  <c r="AW84" i="8" s="1"/>
  <c r="AV84" i="8" s="1"/>
  <c r="AW83" i="8" a="1"/>
  <c r="AW83" i="8" s="1"/>
  <c r="AV83" i="8" s="1"/>
  <c r="AW82" i="8" a="1"/>
  <c r="AW82" i="8" s="1"/>
  <c r="AV82" i="8" s="1"/>
  <c r="AW81" i="8" a="1"/>
  <c r="AW81" i="8" s="1"/>
  <c r="AV81" i="8" s="1"/>
  <c r="AW80" i="8" a="1"/>
  <c r="AW80" i="8" s="1"/>
  <c r="AV80" i="8" s="1"/>
  <c r="AW79" i="8" a="1"/>
  <c r="AW79" i="8" s="1"/>
  <c r="AV79" i="8" s="1"/>
  <c r="AW78" i="8" a="1"/>
  <c r="AW78" i="8" s="1"/>
  <c r="AV78" i="8" s="1"/>
  <c r="AW77" i="8" a="1"/>
  <c r="AW77" i="8" s="1"/>
  <c r="AV77" i="8" s="1"/>
  <c r="AW76" i="8" a="1"/>
  <c r="AW76" i="8" s="1"/>
  <c r="AV76" i="8" s="1"/>
  <c r="AW75" i="8" a="1"/>
  <c r="AW75" i="8" s="1"/>
  <c r="AV75" i="8" s="1"/>
  <c r="AW74" i="8" a="1"/>
  <c r="AW74" i="8" s="1"/>
  <c r="AV74" i="8" s="1"/>
  <c r="AW73" i="8" a="1"/>
  <c r="AW73" i="8" s="1"/>
  <c r="AV73" i="8" s="1"/>
  <c r="AW72" i="8" a="1"/>
  <c r="AW72" i="8" s="1"/>
  <c r="AV72" i="8" s="1"/>
  <c r="AW71" i="8" a="1"/>
  <c r="AW71" i="8" s="1"/>
  <c r="AV71" i="8" s="1"/>
  <c r="AW70" i="8" a="1"/>
  <c r="AW70" i="8" s="1"/>
  <c r="AV70" i="8" s="1"/>
  <c r="AW69" i="8" a="1"/>
  <c r="AW69" i="8" s="1"/>
  <c r="AV69" i="8" s="1"/>
  <c r="AW68" i="8" a="1"/>
  <c r="AW68" i="8" s="1"/>
  <c r="AV68" i="8" s="1"/>
  <c r="AW67" i="8" a="1"/>
  <c r="AW67" i="8" s="1"/>
  <c r="AV67" i="8" s="1"/>
  <c r="AW66" i="8" a="1"/>
  <c r="AW66" i="8" s="1"/>
  <c r="AV66" i="8" s="1"/>
  <c r="AW65" i="8" a="1"/>
  <c r="AW65" i="8" s="1"/>
  <c r="AV65" i="8" s="1"/>
  <c r="AW64" i="8" a="1"/>
  <c r="AW64" i="8" s="1"/>
  <c r="AW63" i="8" a="1"/>
  <c r="AW63" i="8" s="1"/>
  <c r="AV63" i="8" s="1"/>
  <c r="AW62" i="8" a="1"/>
  <c r="AW62" i="8" s="1"/>
  <c r="AV62" i="8" s="1"/>
  <c r="AW61" i="8" a="1"/>
  <c r="AW61" i="8" s="1"/>
  <c r="AV61" i="8" s="1"/>
  <c r="AW60" i="8" a="1"/>
  <c r="AW60" i="8" s="1"/>
  <c r="AW59" i="8" a="1"/>
  <c r="AW59" i="8" s="1"/>
  <c r="AV59" i="8" s="1"/>
  <c r="AW58" i="8" a="1"/>
  <c r="AW58" i="8" s="1"/>
  <c r="AV58" i="8" s="1"/>
  <c r="AW57" i="8" a="1"/>
  <c r="AW57" i="8" s="1"/>
  <c r="AV57" i="8" s="1"/>
  <c r="AW56" i="8" a="1"/>
  <c r="AW56" i="8" s="1"/>
  <c r="AW55" i="8" a="1"/>
  <c r="AW55" i="8" s="1"/>
  <c r="AV55" i="8" s="1"/>
  <c r="AW54" i="8" a="1"/>
  <c r="AW54" i="8" s="1"/>
  <c r="AV54" i="8" s="1"/>
  <c r="AW53" i="8" a="1"/>
  <c r="AW53" i="8" s="1"/>
  <c r="AV53" i="8" s="1"/>
  <c r="AW52" i="8" a="1"/>
  <c r="AW52" i="8" s="1"/>
  <c r="AV52" i="8" s="1"/>
  <c r="AW51" i="8" a="1"/>
  <c r="AW51" i="8" s="1"/>
  <c r="AV51" i="8" s="1"/>
  <c r="AW50" i="8" a="1"/>
  <c r="AW50" i="8" s="1"/>
  <c r="AV50" i="8" s="1"/>
  <c r="AW49" i="8" a="1"/>
  <c r="AW49" i="8" s="1"/>
  <c r="AV49" i="8" s="1"/>
  <c r="AW48" i="8" a="1"/>
  <c r="AW48" i="8" s="1"/>
  <c r="AV48" i="8" s="1"/>
  <c r="AW47" i="8" a="1"/>
  <c r="AW47" i="8" s="1"/>
  <c r="AV47" i="8" s="1"/>
  <c r="AW46" i="8" a="1"/>
  <c r="AW46" i="8" s="1"/>
  <c r="AV46" i="8" s="1"/>
  <c r="AW45" i="8" a="1"/>
  <c r="AW45" i="8" s="1"/>
  <c r="AV45" i="8" s="1"/>
  <c r="AW44" i="8" a="1"/>
  <c r="AW44" i="8" s="1"/>
  <c r="AV44" i="8" s="1"/>
  <c r="AW43" i="8" a="1"/>
  <c r="AW43" i="8" s="1"/>
  <c r="AV43" i="8" s="1"/>
  <c r="AW42" i="8" a="1"/>
  <c r="AW42" i="8" s="1"/>
  <c r="AV42" i="8" s="1"/>
  <c r="AW41" i="8" a="1"/>
  <c r="AW41" i="8" s="1"/>
  <c r="AV41" i="8" s="1"/>
  <c r="AW40" i="8" a="1"/>
  <c r="AW40" i="8" s="1"/>
  <c r="AV40" i="8" s="1"/>
  <c r="AW39" i="8" a="1"/>
  <c r="AW39" i="8" s="1"/>
  <c r="AV39" i="8" s="1"/>
  <c r="AW38" i="8" a="1"/>
  <c r="AW38" i="8" s="1"/>
  <c r="AV38" i="8" s="1"/>
  <c r="AW37" i="8" a="1"/>
  <c r="AW37" i="8" s="1"/>
  <c r="AV37" i="8" s="1"/>
  <c r="AW36" i="8" a="1"/>
  <c r="AW36" i="8" s="1"/>
  <c r="AV36" i="8" s="1"/>
  <c r="AW35" i="8" a="1"/>
  <c r="AW35" i="8" s="1"/>
  <c r="AW34" i="8" a="1"/>
  <c r="AW34" i="8" s="1"/>
  <c r="AV34" i="8" s="1"/>
  <c r="AW33" i="8" a="1"/>
  <c r="AW33" i="8" s="1"/>
  <c r="AV33" i="8" s="1"/>
  <c r="AW32" i="8" a="1"/>
  <c r="AW32" i="8" s="1"/>
  <c r="AV32" i="8" s="1"/>
  <c r="AW31" i="8" a="1"/>
  <c r="AW31" i="8" s="1"/>
  <c r="AV31" i="8" s="1"/>
  <c r="AW30" i="8" a="1"/>
  <c r="AW30" i="8" s="1"/>
  <c r="AW29" i="8" a="1"/>
  <c r="AW29" i="8" s="1"/>
  <c r="AV29" i="8" s="1"/>
  <c r="AW28" i="8" a="1"/>
  <c r="AW28" i="8" s="1"/>
  <c r="AV28" i="8" s="1"/>
  <c r="AW27" i="8" a="1"/>
  <c r="AW27" i="8" s="1"/>
  <c r="AV27" i="8" s="1"/>
  <c r="AW26" i="8" a="1"/>
  <c r="AW26" i="8" s="1"/>
  <c r="AW25" i="8" a="1"/>
  <c r="AW25" i="8" s="1"/>
  <c r="AV25" i="8" s="1"/>
  <c r="AW24" i="8" a="1"/>
  <c r="AW24" i="8" s="1"/>
  <c r="AV24" i="8" s="1"/>
  <c r="AW23" i="8" a="1"/>
  <c r="AW23" i="8" s="1"/>
  <c r="AV23" i="8" s="1"/>
  <c r="AW22" i="8" a="1"/>
  <c r="AW22" i="8" s="1"/>
  <c r="AV22" i="8" s="1"/>
  <c r="AW21" i="8" a="1"/>
  <c r="AW21" i="8" s="1"/>
  <c r="AV21" i="8" s="1"/>
  <c r="AW20" i="8" a="1"/>
  <c r="AW20" i="8" s="1"/>
  <c r="AV20" i="8" s="1"/>
  <c r="AW19" i="8" a="1"/>
  <c r="AW19" i="8" s="1"/>
  <c r="AV19" i="8" s="1"/>
  <c r="AW18" i="8" a="1"/>
  <c r="AW18" i="8" s="1"/>
  <c r="AV18" i="8" s="1"/>
  <c r="AW17" i="8" a="1"/>
  <c r="AW17" i="8" s="1"/>
  <c r="AV17" i="8" s="1"/>
  <c r="AW16" i="8" a="1"/>
  <c r="AW16" i="8" s="1"/>
  <c r="AV16" i="8" s="1"/>
  <c r="AW15" i="8" a="1"/>
  <c r="AW15" i="8" s="1"/>
  <c r="AV15" i="8" s="1"/>
  <c r="AW14" i="8" a="1"/>
  <c r="AW14" i="8" s="1"/>
  <c r="AV14" i="8" s="1"/>
  <c r="AW13" i="8" a="1"/>
  <c r="AW13" i="8" s="1"/>
  <c r="AV13" i="8" s="1"/>
  <c r="AW12" i="8" a="1"/>
  <c r="AW12" i="8" s="1"/>
  <c r="AV12" i="8" s="1"/>
  <c r="AW11" i="8" a="1"/>
  <c r="AW11" i="8" s="1"/>
  <c r="AV11" i="8" s="1"/>
  <c r="AW10" i="8" a="1"/>
  <c r="AW10" i="8" s="1"/>
  <c r="AV10" i="8" s="1"/>
  <c r="AW9" i="8" a="1"/>
  <c r="AW9" i="8" s="1"/>
  <c r="AV9" i="8" s="1"/>
  <c r="AW8" i="8" a="1"/>
  <c r="AW8" i="8" s="1"/>
  <c r="AV8" i="8" s="1"/>
  <c r="AW7" i="8" a="1"/>
  <c r="AW7" i="8" s="1"/>
  <c r="AV7" i="8" s="1"/>
  <c r="AW6" i="8" a="1"/>
  <c r="AW6" i="8" s="1"/>
  <c r="AV6" i="8" s="1"/>
  <c r="AW5" i="8" a="1"/>
  <c r="AW5" i="8" s="1"/>
  <c r="AW4" i="8" a="1"/>
  <c r="AW4" i="8" s="1"/>
  <c r="AV4" i="8" s="1"/>
  <c r="AR100" i="8" a="1"/>
  <c r="AR100" i="8" s="1"/>
  <c r="AQ100" i="8" s="1"/>
  <c r="AR99" i="8" a="1"/>
  <c r="AR99" i="8" s="1"/>
  <c r="AQ99" i="8" s="1"/>
  <c r="AR98" i="8" a="1"/>
  <c r="AR98" i="8" s="1"/>
  <c r="AQ98" i="8" s="1"/>
  <c r="AR97" i="8" a="1"/>
  <c r="AR97" i="8" s="1"/>
  <c r="AQ97" i="8" s="1"/>
  <c r="AR96" i="8" a="1"/>
  <c r="AR96" i="8" s="1"/>
  <c r="AQ96" i="8" s="1"/>
  <c r="AR95" i="8" a="1"/>
  <c r="AR95" i="8" s="1"/>
  <c r="AQ95" i="8" s="1"/>
  <c r="AR94" i="8" a="1"/>
  <c r="AR94" i="8" s="1"/>
  <c r="AQ94" i="8" s="1"/>
  <c r="AR93" i="8" a="1"/>
  <c r="AR93" i="8" s="1"/>
  <c r="AQ93" i="8" s="1"/>
  <c r="AR92" i="8" a="1"/>
  <c r="AR92" i="8" s="1"/>
  <c r="AQ92" i="8" s="1"/>
  <c r="AR91" i="8" a="1"/>
  <c r="AR91" i="8" s="1"/>
  <c r="AT91" i="8" s="1" a="1"/>
  <c r="AT91" i="8" s="1"/>
  <c r="AR90" i="8" a="1"/>
  <c r="AR90" i="8" s="1"/>
  <c r="AQ90" i="8" s="1"/>
  <c r="AR89" i="8" a="1"/>
  <c r="AR89" i="8" s="1"/>
  <c r="AQ89" i="8" s="1"/>
  <c r="AR88" i="8" a="1"/>
  <c r="AR88" i="8" s="1"/>
  <c r="AQ88" i="8" s="1"/>
  <c r="AR87" i="8" a="1"/>
  <c r="AR87" i="8" s="1"/>
  <c r="AQ87" i="8" s="1"/>
  <c r="AR86" i="8" a="1"/>
  <c r="AR86" i="8" s="1"/>
  <c r="AQ86" i="8" s="1"/>
  <c r="AR85" i="8" a="1"/>
  <c r="AR85" i="8" s="1"/>
  <c r="AQ85" i="8" s="1"/>
  <c r="AR84" i="8" a="1"/>
  <c r="AR84" i="8" s="1"/>
  <c r="AQ84" i="8" s="1"/>
  <c r="AR83" i="8" a="1"/>
  <c r="AR83" i="8" s="1"/>
  <c r="AQ83" i="8" s="1"/>
  <c r="AR82" i="8" a="1"/>
  <c r="AR82" i="8" s="1"/>
  <c r="AQ82" i="8" s="1"/>
  <c r="AR81" i="8" a="1"/>
  <c r="AR81" i="8" s="1"/>
  <c r="AQ81" i="8" s="1"/>
  <c r="AR80" i="8" a="1"/>
  <c r="AR80" i="8" s="1"/>
  <c r="AQ80" i="8" s="1"/>
  <c r="AR79" i="8" a="1"/>
  <c r="AR79" i="8" s="1"/>
  <c r="AQ79" i="8" s="1"/>
  <c r="AR78" i="8" a="1"/>
  <c r="AR78" i="8" s="1"/>
  <c r="AQ78" i="8" s="1"/>
  <c r="AR77" i="8" a="1"/>
  <c r="AR77" i="8" s="1"/>
  <c r="AQ77" i="8" s="1"/>
  <c r="AR76" i="8" a="1"/>
  <c r="AR76" i="8" s="1"/>
  <c r="AQ76" i="8" s="1"/>
  <c r="AR75" i="8" a="1"/>
  <c r="AR75" i="8" s="1"/>
  <c r="AQ75" i="8" s="1"/>
  <c r="AR74" i="8" a="1"/>
  <c r="AR74" i="8" s="1"/>
  <c r="AQ74" i="8" s="1"/>
  <c r="AR73" i="8" a="1"/>
  <c r="AR73" i="8" s="1"/>
  <c r="AQ73" i="8" s="1"/>
  <c r="AR72" i="8" a="1"/>
  <c r="AR72" i="8" s="1"/>
  <c r="AQ72" i="8" s="1"/>
  <c r="AR71" i="8" a="1"/>
  <c r="AR71" i="8" s="1"/>
  <c r="AQ71" i="8" s="1"/>
  <c r="AR70" i="8" a="1"/>
  <c r="AR70" i="8" s="1"/>
  <c r="AQ70" i="8" s="1"/>
  <c r="AR69" i="8" a="1"/>
  <c r="AR69" i="8" s="1"/>
  <c r="AQ69" i="8" s="1"/>
  <c r="AR68" i="8" a="1"/>
  <c r="AR68" i="8" s="1"/>
  <c r="AQ68" i="8" s="1"/>
  <c r="AR67" i="8" a="1"/>
  <c r="AR67" i="8" s="1"/>
  <c r="AQ67" i="8" s="1"/>
  <c r="AR66" i="8" a="1"/>
  <c r="AR66" i="8" s="1"/>
  <c r="AQ66" i="8" s="1"/>
  <c r="AR65" i="8" a="1"/>
  <c r="AR65" i="8" s="1"/>
  <c r="AQ65" i="8" s="1"/>
  <c r="AR64" i="8" a="1"/>
  <c r="AR64" i="8" s="1"/>
  <c r="AR63" i="8" a="1"/>
  <c r="AR63" i="8" s="1"/>
  <c r="AQ63" i="8" s="1"/>
  <c r="AR62" i="8" a="1"/>
  <c r="AR62" i="8" s="1"/>
  <c r="AQ62" i="8" s="1"/>
  <c r="AR61" i="8" a="1"/>
  <c r="AR61" i="8" s="1"/>
  <c r="AQ61" i="8" s="1"/>
  <c r="AR60" i="8" a="1"/>
  <c r="AR60" i="8" s="1"/>
  <c r="AR59" i="8" a="1"/>
  <c r="AR59" i="8" s="1"/>
  <c r="AQ59" i="8" s="1"/>
  <c r="AR58" i="8" a="1"/>
  <c r="AR58" i="8" s="1"/>
  <c r="AQ58" i="8" s="1"/>
  <c r="AR57" i="8" a="1"/>
  <c r="AR57" i="8" s="1"/>
  <c r="AQ57" i="8" s="1"/>
  <c r="AR56" i="8" a="1"/>
  <c r="AR56" i="8" s="1"/>
  <c r="AR55" i="8" a="1"/>
  <c r="AR55" i="8" s="1"/>
  <c r="AQ55" i="8" s="1"/>
  <c r="AR54" i="8" a="1"/>
  <c r="AR54" i="8" s="1"/>
  <c r="AQ54" i="8" s="1"/>
  <c r="AR53" i="8" a="1"/>
  <c r="AR53" i="8" s="1"/>
  <c r="AQ53" i="8" s="1"/>
  <c r="AR52" i="8" a="1"/>
  <c r="AR52" i="8" s="1"/>
  <c r="AQ52" i="8" s="1"/>
  <c r="AR51" i="8" a="1"/>
  <c r="AR51" i="8" s="1"/>
  <c r="AQ51" i="8" s="1"/>
  <c r="AR50" i="8" a="1"/>
  <c r="AR50" i="8" s="1"/>
  <c r="AQ50" i="8" s="1"/>
  <c r="AR49" i="8" a="1"/>
  <c r="AR49" i="8" s="1"/>
  <c r="AQ49" i="8" s="1"/>
  <c r="AR48" i="8" a="1"/>
  <c r="AR48" i="8" s="1"/>
  <c r="AQ48" i="8" s="1"/>
  <c r="AR47" i="8" a="1"/>
  <c r="AR47" i="8" s="1"/>
  <c r="AQ47" i="8" s="1"/>
  <c r="AR46" i="8" a="1"/>
  <c r="AR46" i="8" s="1"/>
  <c r="AQ46" i="8" s="1"/>
  <c r="AR45" i="8" a="1"/>
  <c r="AR45" i="8" s="1"/>
  <c r="AQ45" i="8" s="1"/>
  <c r="AR44" i="8" a="1"/>
  <c r="AR44" i="8" s="1"/>
  <c r="AQ44" i="8" s="1"/>
  <c r="AR43" i="8" a="1"/>
  <c r="AR43" i="8" s="1"/>
  <c r="AQ43" i="8" s="1"/>
  <c r="AR42" i="8" a="1"/>
  <c r="AR42" i="8" s="1"/>
  <c r="AQ42" i="8" s="1"/>
  <c r="AR41" i="8" a="1"/>
  <c r="AR41" i="8" s="1"/>
  <c r="AQ41" i="8" s="1"/>
  <c r="AR40" i="8" a="1"/>
  <c r="AR40" i="8" s="1"/>
  <c r="AQ40" i="8" s="1"/>
  <c r="AR39" i="8" a="1"/>
  <c r="AR39" i="8" s="1"/>
  <c r="AQ39" i="8" s="1"/>
  <c r="AR38" i="8" a="1"/>
  <c r="AR38" i="8" s="1"/>
  <c r="AQ38" i="8" s="1"/>
  <c r="AR37" i="8" a="1"/>
  <c r="AR37" i="8" s="1"/>
  <c r="AQ37" i="8" s="1"/>
  <c r="AR36" i="8" a="1"/>
  <c r="AR36" i="8" s="1"/>
  <c r="AQ36" i="8" s="1"/>
  <c r="AR35" i="8" a="1"/>
  <c r="AR35" i="8" s="1"/>
  <c r="AQ35" i="8" s="1"/>
  <c r="AR34" i="8" a="1"/>
  <c r="AR34" i="8" s="1"/>
  <c r="AQ34" i="8" s="1"/>
  <c r="AR33" i="8" a="1"/>
  <c r="AR33" i="8" s="1"/>
  <c r="AQ33" i="8" s="1"/>
  <c r="AR32" i="8" a="1"/>
  <c r="AR32" i="8" s="1"/>
  <c r="AQ32" i="8" s="1"/>
  <c r="AR31" i="8" a="1"/>
  <c r="AR31" i="8" s="1"/>
  <c r="AQ31" i="8" s="1"/>
  <c r="AR30" i="8" a="1"/>
  <c r="AR30" i="8" s="1"/>
  <c r="AQ30" i="8" s="1"/>
  <c r="AR29" i="8" a="1"/>
  <c r="AR29" i="8" s="1"/>
  <c r="AQ29" i="8" s="1"/>
  <c r="AR28" i="8" a="1"/>
  <c r="AR28" i="8" s="1"/>
  <c r="AQ28" i="8" s="1"/>
  <c r="AR27" i="8" a="1"/>
  <c r="AR27" i="8" s="1"/>
  <c r="AQ27" i="8" s="1"/>
  <c r="AR26" i="8" a="1"/>
  <c r="AR26" i="8" s="1"/>
  <c r="AR25" i="8" a="1"/>
  <c r="AR25" i="8" s="1"/>
  <c r="AQ25" i="8" s="1"/>
  <c r="AR24" i="8" a="1"/>
  <c r="AR24" i="8" s="1"/>
  <c r="AQ24" i="8" s="1"/>
  <c r="AR23" i="8" a="1"/>
  <c r="AR23" i="8" s="1"/>
  <c r="AQ23" i="8" s="1"/>
  <c r="AR22" i="8" a="1"/>
  <c r="AR22" i="8" s="1"/>
  <c r="AQ22" i="8" s="1"/>
  <c r="AR21" i="8" a="1"/>
  <c r="AR21" i="8" s="1"/>
  <c r="AQ21" i="8" s="1"/>
  <c r="AR20" i="8" a="1"/>
  <c r="AR20" i="8" s="1"/>
  <c r="AQ20" i="8" s="1"/>
  <c r="AR19" i="8" a="1"/>
  <c r="AR19" i="8" s="1"/>
  <c r="AQ19" i="8" s="1"/>
  <c r="AR18" i="8" a="1"/>
  <c r="AR18" i="8" s="1"/>
  <c r="AQ18" i="8" s="1"/>
  <c r="AR17" i="8" a="1"/>
  <c r="AR17" i="8" s="1"/>
  <c r="AQ17" i="8" s="1"/>
  <c r="AR16" i="8" a="1"/>
  <c r="AR16" i="8" s="1"/>
  <c r="AQ16" i="8" s="1"/>
  <c r="AR15" i="8" a="1"/>
  <c r="AR15" i="8" s="1"/>
  <c r="AQ15" i="8" s="1"/>
  <c r="AR14" i="8" a="1"/>
  <c r="AR14" i="8" s="1"/>
  <c r="AQ14" i="8" s="1"/>
  <c r="AR13" i="8" a="1"/>
  <c r="AR13" i="8" s="1"/>
  <c r="AQ13" i="8" s="1"/>
  <c r="AR12" i="8" a="1"/>
  <c r="AR12" i="8" s="1"/>
  <c r="AQ12" i="8" s="1"/>
  <c r="AR11" i="8" a="1"/>
  <c r="AR11" i="8" s="1"/>
  <c r="AQ11" i="8" s="1"/>
  <c r="AR10" i="8" a="1"/>
  <c r="AR10" i="8" s="1"/>
  <c r="AQ10" i="8" s="1"/>
  <c r="AR9" i="8" a="1"/>
  <c r="AR9" i="8" s="1"/>
  <c r="AQ9" i="8" s="1"/>
  <c r="AR8" i="8" a="1"/>
  <c r="AR8" i="8" s="1"/>
  <c r="AQ8" i="8" s="1"/>
  <c r="AR7" i="8" a="1"/>
  <c r="AR7" i="8" s="1"/>
  <c r="AQ7" i="8" s="1"/>
  <c r="AR6" i="8" a="1"/>
  <c r="AR6" i="8" s="1"/>
  <c r="AQ6" i="8" s="1"/>
  <c r="AR5" i="8" a="1"/>
  <c r="AR5" i="8" s="1"/>
  <c r="AR4" i="8" a="1"/>
  <c r="AR4" i="8" s="1"/>
  <c r="AQ4" i="8" s="1"/>
  <c r="AM100" i="8" a="1"/>
  <c r="AM100" i="8" s="1"/>
  <c r="AL100" i="8" s="1"/>
  <c r="AM99" i="8" a="1"/>
  <c r="AM99" i="8" s="1"/>
  <c r="AL99" i="8" s="1"/>
  <c r="AM98" i="8" a="1"/>
  <c r="AM98" i="8" s="1"/>
  <c r="AL98" i="8" s="1"/>
  <c r="AM97" i="8" a="1"/>
  <c r="AM97" i="8" s="1"/>
  <c r="AL97" i="8" s="1"/>
  <c r="AM96" i="8" a="1"/>
  <c r="AM96" i="8" s="1"/>
  <c r="AL96" i="8" s="1"/>
  <c r="AM95" i="8" a="1"/>
  <c r="AM95" i="8" s="1"/>
  <c r="AL95" i="8" s="1"/>
  <c r="AM94" i="8" a="1"/>
  <c r="AM94" i="8" s="1"/>
  <c r="AL94" i="8" s="1"/>
  <c r="AM93" i="8" a="1"/>
  <c r="AM93" i="8" s="1"/>
  <c r="AL93" i="8" s="1"/>
  <c r="AM92" i="8" a="1"/>
  <c r="AM92" i="8" s="1"/>
  <c r="AL92" i="8" s="1"/>
  <c r="AM91" i="8" a="1"/>
  <c r="AM91" i="8" s="1"/>
  <c r="AL91" i="8" s="1"/>
  <c r="AM90" i="8" a="1"/>
  <c r="AM90" i="8" s="1"/>
  <c r="AL90" i="8" s="1"/>
  <c r="AM89" i="8" a="1"/>
  <c r="AM89" i="8" s="1"/>
  <c r="AL89" i="8" s="1"/>
  <c r="AM88" i="8" a="1"/>
  <c r="AM88" i="8" s="1"/>
  <c r="AL88" i="8" s="1"/>
  <c r="AM87" i="8" a="1"/>
  <c r="AM87" i="8" s="1"/>
  <c r="AL87" i="8" s="1"/>
  <c r="AM86" i="8" a="1"/>
  <c r="AM86" i="8" s="1"/>
  <c r="AL86" i="8" s="1"/>
  <c r="AM85" i="8" a="1"/>
  <c r="AM85" i="8" s="1"/>
  <c r="AL85" i="8" s="1"/>
  <c r="AM84" i="8" a="1"/>
  <c r="AM84" i="8" s="1"/>
  <c r="AL84" i="8" s="1"/>
  <c r="AM83" i="8" a="1"/>
  <c r="AM83" i="8" s="1"/>
  <c r="AL83" i="8" s="1"/>
  <c r="AM82" i="8" a="1"/>
  <c r="AM82" i="8" s="1"/>
  <c r="AL82" i="8" s="1"/>
  <c r="AM81" i="8" a="1"/>
  <c r="AM81" i="8" s="1"/>
  <c r="AL81" i="8" s="1"/>
  <c r="AM80" i="8" a="1"/>
  <c r="AM80" i="8" s="1"/>
  <c r="AL80" i="8" s="1"/>
  <c r="AM79" i="8" a="1"/>
  <c r="AM79" i="8" s="1"/>
  <c r="AL79" i="8" s="1"/>
  <c r="AM78" i="8" a="1"/>
  <c r="AM78" i="8" s="1"/>
  <c r="AL78" i="8" s="1"/>
  <c r="AM77" i="8" a="1"/>
  <c r="AM77" i="8" s="1"/>
  <c r="AL77" i="8" s="1"/>
  <c r="AM76" i="8" a="1"/>
  <c r="AM76" i="8" s="1"/>
  <c r="AL76" i="8" s="1"/>
  <c r="AM75" i="8" a="1"/>
  <c r="AM75" i="8" s="1"/>
  <c r="AL75" i="8" s="1"/>
  <c r="AM74" i="8" a="1"/>
  <c r="AM74" i="8" s="1"/>
  <c r="AL74" i="8" s="1"/>
  <c r="AM73" i="8" a="1"/>
  <c r="AM73" i="8" s="1"/>
  <c r="AL73" i="8" s="1"/>
  <c r="AM72" i="8" a="1"/>
  <c r="AM72" i="8" s="1"/>
  <c r="AL72" i="8" s="1"/>
  <c r="AM71" i="8" a="1"/>
  <c r="AM71" i="8" s="1"/>
  <c r="AL71" i="8" s="1"/>
  <c r="AM70" i="8" a="1"/>
  <c r="AM70" i="8" s="1"/>
  <c r="AL70" i="8" s="1"/>
  <c r="AM69" i="8" a="1"/>
  <c r="AM69" i="8" s="1"/>
  <c r="AL69" i="8" s="1"/>
  <c r="AM68" i="8" a="1"/>
  <c r="AM68" i="8" s="1"/>
  <c r="AL68" i="8" s="1"/>
  <c r="AM67" i="8" a="1"/>
  <c r="AM67" i="8" s="1"/>
  <c r="AL67" i="8" s="1"/>
  <c r="AM66" i="8" a="1"/>
  <c r="AM66" i="8" s="1"/>
  <c r="AL66" i="8" s="1"/>
  <c r="AM65" i="8" a="1"/>
  <c r="AM65" i="8" s="1"/>
  <c r="AL65" i="8" s="1"/>
  <c r="AM64" i="8" a="1"/>
  <c r="AM64" i="8" s="1"/>
  <c r="AM63" i="8" a="1"/>
  <c r="AM63" i="8" s="1"/>
  <c r="AL63" i="8" s="1"/>
  <c r="AM62" i="8" a="1"/>
  <c r="AM62" i="8" s="1"/>
  <c r="AL62" i="8" s="1"/>
  <c r="AM61" i="8" a="1"/>
  <c r="AM61" i="8" s="1"/>
  <c r="AL61" i="8" s="1"/>
  <c r="AM60" i="8" a="1"/>
  <c r="AM60" i="8" s="1"/>
  <c r="AM59" i="8" a="1"/>
  <c r="AM59" i="8" s="1"/>
  <c r="AL59" i="8" s="1"/>
  <c r="AM58" i="8" a="1"/>
  <c r="AM58" i="8" s="1"/>
  <c r="AL58" i="8" s="1"/>
  <c r="AM57" i="8" a="1"/>
  <c r="AM57" i="8" s="1"/>
  <c r="AL57" i="8" s="1"/>
  <c r="AM56" i="8" a="1"/>
  <c r="AM56" i="8" s="1"/>
  <c r="AM55" i="8" a="1"/>
  <c r="AM55" i="8" s="1"/>
  <c r="AL55" i="8" s="1"/>
  <c r="AM54" i="8" a="1"/>
  <c r="AM54" i="8" s="1"/>
  <c r="AL54" i="8" s="1"/>
  <c r="AM53" i="8" a="1"/>
  <c r="AM53" i="8" s="1"/>
  <c r="AL53" i="8" s="1"/>
  <c r="AM52" i="8" a="1"/>
  <c r="AM52" i="8" s="1"/>
  <c r="AL52" i="8" s="1"/>
  <c r="AM51" i="8" a="1"/>
  <c r="AM51" i="8" s="1"/>
  <c r="AL51" i="8" s="1"/>
  <c r="AM50" i="8" a="1"/>
  <c r="AM50" i="8" s="1"/>
  <c r="AL50" i="8" s="1"/>
  <c r="AM49" i="8" a="1"/>
  <c r="AM49" i="8" s="1"/>
  <c r="AL49" i="8" s="1"/>
  <c r="AM48" i="8" a="1"/>
  <c r="AM48" i="8" s="1"/>
  <c r="AL48" i="8" s="1"/>
  <c r="AM47" i="8" a="1"/>
  <c r="AM47" i="8" s="1"/>
  <c r="AL47" i="8" s="1"/>
  <c r="AM46" i="8" a="1"/>
  <c r="AM46" i="8" s="1"/>
  <c r="AL46" i="8" s="1"/>
  <c r="AM45" i="8" a="1"/>
  <c r="AM45" i="8" s="1"/>
  <c r="AL45" i="8" s="1"/>
  <c r="AM44" i="8" a="1"/>
  <c r="AM44" i="8" s="1"/>
  <c r="AL44" i="8" s="1"/>
  <c r="AM43" i="8" a="1"/>
  <c r="AM43" i="8" s="1"/>
  <c r="AL43" i="8" s="1"/>
  <c r="AM42" i="8" a="1"/>
  <c r="AM42" i="8" s="1"/>
  <c r="AL42" i="8" s="1"/>
  <c r="AM41" i="8" a="1"/>
  <c r="AM41" i="8" s="1"/>
  <c r="AL41" i="8" s="1"/>
  <c r="AM40" i="8" a="1"/>
  <c r="AM40" i="8" s="1"/>
  <c r="AL40" i="8" s="1"/>
  <c r="AM39" i="8" a="1"/>
  <c r="AM39" i="8" s="1"/>
  <c r="AL39" i="8" s="1"/>
  <c r="AM38" i="8" a="1"/>
  <c r="AM38" i="8" s="1"/>
  <c r="AL38" i="8" s="1"/>
  <c r="AM37" i="8" a="1"/>
  <c r="AM37" i="8" s="1"/>
  <c r="AL37" i="8" s="1"/>
  <c r="AM36" i="8" a="1"/>
  <c r="AM36" i="8" s="1"/>
  <c r="AL36" i="8" s="1"/>
  <c r="AM35" i="8" a="1"/>
  <c r="AM35" i="8" s="1"/>
  <c r="AL35" i="8" s="1"/>
  <c r="AM34" i="8" a="1"/>
  <c r="AM34" i="8" s="1"/>
  <c r="AL34" i="8" s="1"/>
  <c r="AM33" i="8" a="1"/>
  <c r="AM33" i="8" s="1"/>
  <c r="AL33" i="8" s="1"/>
  <c r="AM32" i="8" a="1"/>
  <c r="AM32" i="8" s="1"/>
  <c r="AL32" i="8" s="1"/>
  <c r="AM31" i="8" a="1"/>
  <c r="AM31" i="8" s="1"/>
  <c r="AL31" i="8" s="1"/>
  <c r="AM30" i="8" a="1"/>
  <c r="AM30" i="8" s="1"/>
  <c r="AM29" i="8" a="1"/>
  <c r="AM29" i="8" s="1"/>
  <c r="AL29" i="8" s="1"/>
  <c r="AM28" i="8" a="1"/>
  <c r="AM28" i="8" s="1"/>
  <c r="AL28" i="8" s="1"/>
  <c r="AM27" i="8" a="1"/>
  <c r="AM27" i="8" s="1"/>
  <c r="AL27" i="8" s="1"/>
  <c r="AM26" i="8" a="1"/>
  <c r="AM26" i="8" s="1"/>
  <c r="AM25" i="8" a="1"/>
  <c r="AM25" i="8" s="1"/>
  <c r="AL25" i="8" s="1"/>
  <c r="AM24" i="8" a="1"/>
  <c r="AM24" i="8" s="1"/>
  <c r="AL24" i="8" s="1"/>
  <c r="AM23" i="8" a="1"/>
  <c r="AM23" i="8" s="1"/>
  <c r="AL23" i="8" s="1"/>
  <c r="AM22" i="8" a="1"/>
  <c r="AM22" i="8" s="1"/>
  <c r="AL22" i="8" s="1"/>
  <c r="AM21" i="8" a="1"/>
  <c r="AM21" i="8" s="1"/>
  <c r="AL21" i="8" s="1"/>
  <c r="AM20" i="8" a="1"/>
  <c r="AM20" i="8" s="1"/>
  <c r="AL20" i="8" s="1"/>
  <c r="AM19" i="8" a="1"/>
  <c r="AM19" i="8" s="1"/>
  <c r="AL19" i="8" s="1"/>
  <c r="AM18" i="8" a="1"/>
  <c r="AM18" i="8" s="1"/>
  <c r="AL18" i="8" s="1"/>
  <c r="AM17" i="8" a="1"/>
  <c r="AM17" i="8" s="1"/>
  <c r="AL17" i="8" s="1"/>
  <c r="AM16" i="8" a="1"/>
  <c r="AM16" i="8" s="1"/>
  <c r="AL16" i="8" s="1"/>
  <c r="AM15" i="8" a="1"/>
  <c r="AM15" i="8" s="1"/>
  <c r="AL15" i="8" s="1"/>
  <c r="AM14" i="8" a="1"/>
  <c r="AM14" i="8" s="1"/>
  <c r="AL14" i="8" s="1"/>
  <c r="AM13" i="8" a="1"/>
  <c r="AM13" i="8" s="1"/>
  <c r="AL13" i="8" s="1"/>
  <c r="AM12" i="8" a="1"/>
  <c r="AM12" i="8" s="1"/>
  <c r="AL12" i="8" s="1"/>
  <c r="AM11" i="8" a="1"/>
  <c r="AM11" i="8" s="1"/>
  <c r="AL11" i="8" s="1"/>
  <c r="AM10" i="8" a="1"/>
  <c r="AM10" i="8" s="1"/>
  <c r="AL10" i="8" s="1"/>
  <c r="AM9" i="8" a="1"/>
  <c r="AM9" i="8" s="1"/>
  <c r="AL9" i="8" s="1"/>
  <c r="AM8" i="8" a="1"/>
  <c r="AM8" i="8" s="1"/>
  <c r="AL8" i="8" s="1"/>
  <c r="AM7" i="8" a="1"/>
  <c r="AM7" i="8" s="1"/>
  <c r="AL7" i="8" s="1"/>
  <c r="AM6" i="8" a="1"/>
  <c r="AM6" i="8" s="1"/>
  <c r="AL6" i="8" s="1"/>
  <c r="AM5" i="8" a="1"/>
  <c r="AM5" i="8" s="1"/>
  <c r="AM4" i="8" a="1"/>
  <c r="AM4" i="8" s="1"/>
  <c r="AL4" i="8" s="1"/>
  <c r="AH5" i="8" a="1"/>
  <c r="AH5" i="8" s="1"/>
  <c r="AI5" i="8" s="1"/>
  <c r="AH6" i="8" a="1"/>
  <c r="AH6" i="8" s="1"/>
  <c r="AH7" i="8" a="1"/>
  <c r="AH7" i="8" s="1"/>
  <c r="AH8" i="8" a="1"/>
  <c r="AH8" i="8" s="1"/>
  <c r="AH9" i="8" a="1"/>
  <c r="AH9" i="8" s="1"/>
  <c r="AH10" i="8" a="1"/>
  <c r="AH10" i="8" s="1"/>
  <c r="AG10" i="8" s="1"/>
  <c r="AH11" i="8" a="1"/>
  <c r="AH11" i="8" s="1"/>
  <c r="AG11" i="8" s="1"/>
  <c r="AH12" i="8" a="1"/>
  <c r="AH12" i="8" s="1"/>
  <c r="AG12" i="8" s="1"/>
  <c r="AH13" i="8" a="1"/>
  <c r="AH13" i="8" s="1"/>
  <c r="AG13" i="8" s="1"/>
  <c r="AH14" i="8" a="1"/>
  <c r="AH14" i="8" s="1"/>
  <c r="AG14" i="8" s="1"/>
  <c r="AH15" i="8" a="1"/>
  <c r="AH15" i="8" s="1"/>
  <c r="AG15" i="8" s="1"/>
  <c r="AH16" i="8" a="1"/>
  <c r="AH16" i="8" s="1"/>
  <c r="AG16" i="8" s="1"/>
  <c r="AH17" i="8" a="1"/>
  <c r="AH17" i="8" s="1"/>
  <c r="AG17" i="8" s="1"/>
  <c r="AH18" i="8" a="1"/>
  <c r="AH18" i="8" s="1"/>
  <c r="AH19" i="8" a="1"/>
  <c r="AH19" i="8" s="1"/>
  <c r="AH20" i="8" a="1"/>
  <c r="AH20" i="8" s="1"/>
  <c r="AH21" i="8" a="1"/>
  <c r="AH21" i="8" s="1"/>
  <c r="AH22" i="8" a="1"/>
  <c r="AH22" i="8" s="1"/>
  <c r="AH23" i="8" a="1"/>
  <c r="AH23" i="8" s="1"/>
  <c r="AH24" i="8" a="1"/>
  <c r="AH24" i="8" s="1"/>
  <c r="AH25" i="8" a="1"/>
  <c r="AH25" i="8" s="1"/>
  <c r="AG25" i="8" s="1"/>
  <c r="AH26" i="8" a="1"/>
  <c r="AH26" i="8" s="1"/>
  <c r="AI26" i="8" s="1"/>
  <c r="AH27" i="8" a="1"/>
  <c r="AH27" i="8" s="1"/>
  <c r="AH28" i="8" a="1"/>
  <c r="AH28" i="8" s="1"/>
  <c r="AH29" i="8" a="1"/>
  <c r="AH29" i="8" s="1"/>
  <c r="AH30" i="8" a="1"/>
  <c r="AH30" i="8" s="1"/>
  <c r="AG30" i="8" s="1"/>
  <c r="AH31" i="8" a="1"/>
  <c r="AH31" i="8" s="1"/>
  <c r="AG31" i="8" s="1"/>
  <c r="AH32" i="8" a="1"/>
  <c r="AH32" i="8" s="1"/>
  <c r="AG32" i="8" s="1"/>
  <c r="AH33" i="8" a="1"/>
  <c r="AH33" i="8" s="1"/>
  <c r="AG33" i="8" s="1"/>
  <c r="AH34" i="8" a="1"/>
  <c r="AH34" i="8" s="1"/>
  <c r="AG34" i="8" s="1"/>
  <c r="AH35" i="8" a="1"/>
  <c r="AH35" i="8" s="1"/>
  <c r="AG35" i="8" s="1"/>
  <c r="AH36" i="8" a="1"/>
  <c r="AH36" i="8" s="1"/>
  <c r="AG36" i="8" s="1"/>
  <c r="AH37" i="8" a="1"/>
  <c r="AH37" i="8" s="1"/>
  <c r="AG37" i="8" s="1"/>
  <c r="AH38" i="8" a="1"/>
  <c r="AH38" i="8" s="1"/>
  <c r="AH39" i="8" a="1"/>
  <c r="AH39" i="8" s="1"/>
  <c r="AH40" i="8" a="1"/>
  <c r="AH40" i="8" s="1"/>
  <c r="AH41" i="8" a="1"/>
  <c r="AH41" i="8" s="1"/>
  <c r="AH42" i="8" a="1"/>
  <c r="AH42" i="8" s="1"/>
  <c r="AH43" i="8" a="1"/>
  <c r="AH43" i="8" s="1"/>
  <c r="AH44" i="8" a="1"/>
  <c r="AH44" i="8" s="1"/>
  <c r="AH45" i="8" a="1"/>
  <c r="AH45" i="8" s="1"/>
  <c r="AG45" i="8" s="1"/>
  <c r="AH46" i="8" a="1"/>
  <c r="AH46" i="8" s="1"/>
  <c r="AH47" i="8" a="1"/>
  <c r="AH47" i="8" s="1"/>
  <c r="AH48" i="8" a="1"/>
  <c r="AH48" i="8" s="1"/>
  <c r="AH49" i="8" a="1"/>
  <c r="AH49" i="8" s="1"/>
  <c r="AG49" i="8" s="1"/>
  <c r="AH50" i="8" a="1"/>
  <c r="AH50" i="8" s="1"/>
  <c r="AG50" i="8" s="1"/>
  <c r="AH51" i="8" a="1"/>
  <c r="AH51" i="8" s="1"/>
  <c r="AG51" i="8" s="1"/>
  <c r="AH52" i="8" a="1"/>
  <c r="AH52" i="8" s="1"/>
  <c r="AG52" i="8" s="1"/>
  <c r="AH53" i="8" a="1"/>
  <c r="AH53" i="8" s="1"/>
  <c r="AG53" i="8" s="1"/>
  <c r="AH54" i="8" a="1"/>
  <c r="AH54" i="8" s="1"/>
  <c r="AG54" i="8" s="1"/>
  <c r="AH55" i="8" a="1"/>
  <c r="AH55" i="8" s="1"/>
  <c r="AG55" i="8" s="1"/>
  <c r="AH56" i="8" a="1"/>
  <c r="AH56" i="8" s="1"/>
  <c r="AI56" i="8" s="1"/>
  <c r="AH57" i="8" a="1"/>
  <c r="AH57" i="8" s="1"/>
  <c r="AG57" i="8" s="1"/>
  <c r="AH58" i="8" a="1"/>
  <c r="AH58" i="8" s="1"/>
  <c r="AH59" i="8" a="1"/>
  <c r="AH59" i="8" s="1"/>
  <c r="AH60" i="8" a="1"/>
  <c r="AH60" i="8" s="1"/>
  <c r="AH61" i="8" a="1"/>
  <c r="AH61" i="8" s="1"/>
  <c r="AH62" i="8" a="1"/>
  <c r="AH62" i="8" s="1"/>
  <c r="AH63" i="8" a="1"/>
  <c r="AH63" i="8" s="1"/>
  <c r="AH64" i="8" a="1"/>
  <c r="AH64" i="8" s="1"/>
  <c r="AH65" i="8" a="1"/>
  <c r="AH65" i="8" s="1"/>
  <c r="AG65" i="8" s="1"/>
  <c r="AH66" i="8" a="1"/>
  <c r="AH66" i="8" s="1"/>
  <c r="AH67" i="8" a="1"/>
  <c r="AH67" i="8" s="1"/>
  <c r="AH68" i="8" a="1"/>
  <c r="AH68" i="8" s="1"/>
  <c r="AH69" i="8" a="1"/>
  <c r="AH69" i="8" s="1"/>
  <c r="AG69" i="8" s="1"/>
  <c r="AI69" i="8" s="1"/>
  <c r="AH70" i="8" a="1"/>
  <c r="AH70" i="8" s="1"/>
  <c r="AG70" i="8" s="1"/>
  <c r="AI70" i="8" s="1"/>
  <c r="AH71" i="8" a="1"/>
  <c r="AH71" i="8" s="1"/>
  <c r="AG71" i="8" s="1"/>
  <c r="AI71" i="8" s="1"/>
  <c r="AH72" i="8" a="1"/>
  <c r="AH72" i="8" s="1"/>
  <c r="AG72" i="8" s="1"/>
  <c r="AI72" i="8" s="1"/>
  <c r="AH73" i="8" a="1"/>
  <c r="AH73" i="8" s="1"/>
  <c r="AG73" i="8" s="1"/>
  <c r="AI73" i="8" s="1"/>
  <c r="AH74" i="8" a="1"/>
  <c r="AH74" i="8" s="1"/>
  <c r="AG74" i="8" s="1"/>
  <c r="AI74" i="8" s="1"/>
  <c r="AH75" i="8" a="1"/>
  <c r="AH75" i="8" s="1"/>
  <c r="AG75" i="8" s="1"/>
  <c r="AI75" i="8" s="1"/>
  <c r="AH76" i="8" a="1"/>
  <c r="AH76" i="8" s="1"/>
  <c r="AJ76" i="8" s="1" a="1"/>
  <c r="AJ76" i="8" s="1"/>
  <c r="AH77" i="8" a="1"/>
  <c r="AH77" i="8" s="1"/>
  <c r="AJ77" i="8" s="1" a="1"/>
  <c r="AJ77" i="8" s="1"/>
  <c r="AH78" i="8" a="1"/>
  <c r="AH78" i="8" s="1"/>
  <c r="AG78" i="8" s="1"/>
  <c r="AI78" i="8" s="1"/>
  <c r="AH79" i="8" a="1"/>
  <c r="AH79" i="8" s="1"/>
  <c r="AG79" i="8" s="1"/>
  <c r="AI79" i="8" s="1"/>
  <c r="AH80" i="8" a="1"/>
  <c r="AH80" i="8" s="1"/>
  <c r="AG80" i="8" s="1"/>
  <c r="AI80" i="8" s="1"/>
  <c r="AH81" i="8" a="1"/>
  <c r="AH81" i="8" s="1"/>
  <c r="AG81" i="8" s="1"/>
  <c r="AI81" i="8" s="1"/>
  <c r="AH82" i="8" a="1"/>
  <c r="AH82" i="8" s="1"/>
  <c r="AG82" i="8" s="1"/>
  <c r="AI82" i="8" s="1"/>
  <c r="AH83" i="8" a="1"/>
  <c r="AH83" i="8" s="1"/>
  <c r="AG83" i="8" s="1"/>
  <c r="AI83" i="8" s="1"/>
  <c r="AH84" i="8" a="1"/>
  <c r="AH84" i="8" s="1"/>
  <c r="AG84" i="8" s="1"/>
  <c r="AI84" i="8" s="1"/>
  <c r="AH85" i="8" a="1"/>
  <c r="AH85" i="8" s="1"/>
  <c r="AG85" i="8" s="1"/>
  <c r="AI85" i="8" s="1"/>
  <c r="AH86" i="8" a="1"/>
  <c r="AH86" i="8" s="1"/>
  <c r="AG86" i="8" s="1"/>
  <c r="AI86" i="8" s="1"/>
  <c r="AH87" i="8" a="1"/>
  <c r="AH87" i="8" s="1"/>
  <c r="AG87" i="8" s="1"/>
  <c r="AI87" i="8" s="1"/>
  <c r="AH88" i="8" a="1"/>
  <c r="AH88" i="8" s="1"/>
  <c r="AG88" i="8" s="1"/>
  <c r="AI88" i="8" s="1"/>
  <c r="AH89" i="8" a="1"/>
  <c r="AH89" i="8" s="1"/>
  <c r="AG89" i="8" s="1"/>
  <c r="AI89" i="8" s="1"/>
  <c r="AH90" i="8" a="1"/>
  <c r="AH90" i="8" s="1"/>
  <c r="AG90" i="8" s="1"/>
  <c r="AI90" i="8" s="1"/>
  <c r="AH91" i="8" a="1"/>
  <c r="AH91" i="8" s="1"/>
  <c r="AG91" i="8" s="1"/>
  <c r="AI91" i="8" s="1"/>
  <c r="AH92" i="8" a="1"/>
  <c r="AH92" i="8" s="1"/>
  <c r="AG92" i="8" s="1"/>
  <c r="AI92" i="8" s="1"/>
  <c r="AH93" i="8" a="1"/>
  <c r="AH93" i="8" s="1"/>
  <c r="AG93" i="8" s="1"/>
  <c r="AI93" i="8" s="1"/>
  <c r="AH94" i="8" a="1"/>
  <c r="AH94" i="8" s="1"/>
  <c r="AG94" i="8" s="1"/>
  <c r="AI94" i="8" s="1"/>
  <c r="AH95" i="8" a="1"/>
  <c r="AH95" i="8" s="1"/>
  <c r="AG95" i="8" s="1"/>
  <c r="AI95" i="8" s="1"/>
  <c r="AH96" i="8" a="1"/>
  <c r="AH96" i="8" s="1"/>
  <c r="AJ96" i="8" s="1" a="1"/>
  <c r="AJ96" i="8" s="1"/>
  <c r="AH97" i="8" a="1"/>
  <c r="AH97" i="8" s="1"/>
  <c r="AJ97" i="8" s="1" a="1"/>
  <c r="AJ97" i="8" s="1"/>
  <c r="AH98" i="8" a="1"/>
  <c r="AH98" i="8" s="1"/>
  <c r="AG98" i="8" s="1"/>
  <c r="AI98" i="8" s="1"/>
  <c r="AH99" i="8" a="1"/>
  <c r="AH99" i="8" s="1"/>
  <c r="AG99" i="8" s="1"/>
  <c r="AI99" i="8" s="1"/>
  <c r="AH100" i="8" a="1"/>
  <c r="AH100" i="8" s="1"/>
  <c r="AG100" i="8" s="1"/>
  <c r="AI100" i="8" s="1"/>
  <c r="AI64" i="8" l="1"/>
  <c r="AI35" i="8"/>
  <c r="AI60" i="8"/>
  <c r="AI30" i="8"/>
  <c r="AJ71" i="8" a="1"/>
  <c r="AJ71" i="8" s="1"/>
  <c r="AJ70" i="8" a="1"/>
  <c r="AJ70" i="8" s="1"/>
  <c r="AJ90" i="8" a="1"/>
  <c r="AJ90" i="8" s="1"/>
  <c r="AJ83" i="8" a="1"/>
  <c r="AJ83" i="8" s="1"/>
  <c r="AJ82" i="8" a="1"/>
  <c r="AJ82" i="8" s="1"/>
  <c r="AJ81" i="8" a="1"/>
  <c r="AJ81" i="8" s="1"/>
  <c r="AJ99" i="8" l="1" a="1"/>
  <c r="AJ99" i="8" s="1"/>
  <c r="AJ100" i="8" a="1"/>
  <c r="AJ100" i="8" s="1"/>
  <c r="AJ95" i="8" a="1"/>
  <c r="AJ95" i="8" s="1"/>
  <c r="AJ94" i="8" a="1"/>
  <c r="AJ94" i="8" s="1"/>
  <c r="AJ93" i="8" a="1"/>
  <c r="AJ93" i="8" s="1"/>
  <c r="AJ91" i="8" a="1"/>
  <c r="AJ91" i="8" s="1"/>
  <c r="AJ92" i="8" a="1"/>
  <c r="AJ92" i="8" s="1"/>
  <c r="AJ84" i="8" a="1"/>
  <c r="AJ84" i="8" s="1"/>
  <c r="AJ75" i="8" a="1"/>
  <c r="AJ75" i="8" s="1"/>
  <c r="AJ80" i="8" a="1"/>
  <c r="AJ80" i="8" s="1"/>
  <c r="AJ79" i="8" a="1"/>
  <c r="AJ79" i="8" s="1"/>
  <c r="AJ74" i="8" a="1"/>
  <c r="AJ74" i="8" s="1"/>
  <c r="AJ73" i="8" a="1"/>
  <c r="AJ73" i="8" s="1"/>
  <c r="AJ72" i="8" a="1"/>
  <c r="AJ72" i="8" s="1"/>
  <c r="AG97" i="8"/>
  <c r="AI97" i="8" s="1"/>
  <c r="AG77" i="8"/>
  <c r="AI77" i="8" s="1"/>
  <c r="AG96" i="8"/>
  <c r="AI96" i="8" s="1"/>
  <c r="AG76" i="8"/>
  <c r="AI76" i="8" s="1"/>
  <c r="AJ89" i="8" a="1"/>
  <c r="AJ89" i="8" s="1"/>
  <c r="AJ69" i="8" a="1"/>
  <c r="AJ69" i="8" s="1"/>
  <c r="AJ88" i="8" a="1"/>
  <c r="AJ88" i="8" s="1"/>
  <c r="AJ87" i="8" a="1"/>
  <c r="AJ87" i="8" s="1"/>
  <c r="AJ86" i="8" a="1"/>
  <c r="AJ86" i="8" s="1"/>
  <c r="AJ85" i="8" a="1"/>
  <c r="AJ85" i="8" s="1"/>
  <c r="AG29" i="8"/>
  <c r="AI29" i="8" s="1"/>
  <c r="AG9" i="8"/>
  <c r="AI9" i="8" s="1"/>
  <c r="BU81" i="8"/>
  <c r="AG68" i="8"/>
  <c r="AI68" i="8" s="1"/>
  <c r="AG48" i="8"/>
  <c r="AI48" i="8" s="1"/>
  <c r="AG28" i="8"/>
  <c r="AI28" i="8" s="1"/>
  <c r="AG8" i="8"/>
  <c r="AI8" i="8" s="1"/>
  <c r="AG67" i="8"/>
  <c r="AI67" i="8" s="1"/>
  <c r="AG47" i="8"/>
  <c r="AI47" i="8" s="1"/>
  <c r="AG27" i="8"/>
  <c r="AI27" i="8" s="1"/>
  <c r="AG7" i="8"/>
  <c r="AI7" i="8" s="1"/>
  <c r="AI37" i="8"/>
  <c r="AI16" i="8"/>
  <c r="AI55" i="8"/>
  <c r="AI54" i="8"/>
  <c r="AG66" i="8"/>
  <c r="AI66" i="8" s="1"/>
  <c r="AG46" i="8"/>
  <c r="AI46" i="8" s="1"/>
  <c r="AG6" i="8"/>
  <c r="AI6" i="8" s="1"/>
  <c r="AI57" i="8"/>
  <c r="AI36" i="8"/>
  <c r="AI15" i="8"/>
  <c r="AI34" i="8"/>
  <c r="AI14" i="8"/>
  <c r="AI53" i="8"/>
  <c r="AI33" i="8"/>
  <c r="AI13" i="8"/>
  <c r="AG44" i="8"/>
  <c r="AI44" i="8" s="1"/>
  <c r="AG24" i="8"/>
  <c r="AI24" i="8" s="1"/>
  <c r="AI49" i="8"/>
  <c r="AI32" i="8"/>
  <c r="AI51" i="8"/>
  <c r="AI31" i="8"/>
  <c r="AI11" i="8"/>
  <c r="AG63" i="8"/>
  <c r="AI63" i="8" s="1"/>
  <c r="AG43" i="8"/>
  <c r="AI43" i="8" s="1"/>
  <c r="AG23" i="8"/>
  <c r="AI23" i="8" s="1"/>
  <c r="AI17" i="8"/>
  <c r="AI52" i="8"/>
  <c r="AI12" i="8"/>
  <c r="AJ98" i="8" a="1"/>
  <c r="AJ98" i="8" s="1"/>
  <c r="AJ78" i="8" a="1"/>
  <c r="AJ78" i="8" s="1"/>
  <c r="AI50" i="8"/>
  <c r="AI10" i="8"/>
  <c r="AG62" i="8"/>
  <c r="AI62" i="8" s="1"/>
  <c r="AG42" i="8"/>
  <c r="AI42" i="8" s="1"/>
  <c r="AG22" i="8"/>
  <c r="AI22" i="8" s="1"/>
  <c r="AG61" i="8"/>
  <c r="AI61" i="8" s="1"/>
  <c r="AG41" i="8"/>
  <c r="AI41" i="8" s="1"/>
  <c r="AG21" i="8"/>
  <c r="AI21" i="8" s="1"/>
  <c r="AQ91" i="8"/>
  <c r="AS91" i="8" s="1"/>
  <c r="AG40" i="8"/>
  <c r="AI40" i="8" s="1"/>
  <c r="AG20" i="8"/>
  <c r="AI20" i="8" s="1"/>
  <c r="AG59" i="8"/>
  <c r="AI59" i="8" s="1"/>
  <c r="AG39" i="8"/>
  <c r="AI39" i="8" s="1"/>
  <c r="AG19" i="8"/>
  <c r="AI19" i="8" s="1"/>
  <c r="BU91" i="8"/>
  <c r="BW91" i="8" s="1"/>
  <c r="AG58" i="8"/>
  <c r="AI58" i="8" s="1"/>
  <c r="AG38" i="8"/>
  <c r="AI38" i="8" s="1"/>
  <c r="AG18" i="8"/>
  <c r="AI18" i="8" s="1"/>
  <c r="AI65" i="8"/>
  <c r="AI45" i="8"/>
  <c r="AI25" i="8"/>
  <c r="AJ66" i="8" a="1"/>
  <c r="AJ66" i="8" s="1"/>
  <c r="AJ65" i="8" a="1"/>
  <c r="AJ65" i="8" s="1"/>
  <c r="AJ63" i="8" a="1"/>
  <c r="AJ63" i="8" s="1"/>
  <c r="AJ64" i="8" a="1"/>
  <c r="AJ64" i="8" s="1"/>
  <c r="AJ68" i="8" a="1"/>
  <c r="AJ68" i="8" s="1"/>
  <c r="AJ67" i="8" a="1"/>
  <c r="AJ67" i="8" s="1"/>
  <c r="AJ48" i="8" a="1"/>
  <c r="AJ48" i="8" s="1"/>
  <c r="AJ28" i="8" a="1"/>
  <c r="AJ28" i="8" s="1"/>
  <c r="AJ8" i="8" a="1"/>
  <c r="AJ8" i="8" s="1"/>
  <c r="AJ47" i="8" a="1"/>
  <c r="AJ47" i="8" s="1"/>
  <c r="AJ27" i="8" a="1"/>
  <c r="AJ27" i="8" s="1"/>
  <c r="AJ7" i="8" a="1"/>
  <c r="AJ7" i="8" s="1"/>
  <c r="AJ46" i="8" a="1"/>
  <c r="AJ46" i="8" s="1"/>
  <c r="AJ26" i="8" a="1"/>
  <c r="AJ26" i="8" s="1"/>
  <c r="AJ6" i="8" a="1"/>
  <c r="AJ6" i="8" s="1"/>
  <c r="AJ45" i="8" a="1"/>
  <c r="AJ45" i="8" s="1"/>
  <c r="AJ25" i="8" a="1"/>
  <c r="AJ25" i="8" s="1"/>
  <c r="AJ5" i="8" a="1"/>
  <c r="AJ5" i="8" s="1"/>
  <c r="AJ44" i="8" a="1"/>
  <c r="AJ44" i="8" s="1"/>
  <c r="AJ24" i="8" a="1"/>
  <c r="AJ24" i="8" s="1"/>
  <c r="AJ43" i="8" a="1"/>
  <c r="AJ43" i="8" s="1"/>
  <c r="AJ23" i="8" a="1"/>
  <c r="AJ23" i="8" s="1"/>
  <c r="AJ62" i="8" a="1"/>
  <c r="AJ62" i="8" s="1"/>
  <c r="AJ42" i="8" a="1"/>
  <c r="AJ42" i="8" s="1"/>
  <c r="AJ22" i="8" a="1"/>
  <c r="AJ22" i="8" s="1"/>
  <c r="AJ61" i="8" a="1"/>
  <c r="AJ61" i="8" s="1"/>
  <c r="AJ41" i="8" a="1"/>
  <c r="AJ41" i="8" s="1"/>
  <c r="AJ21" i="8" a="1"/>
  <c r="AJ21" i="8" s="1"/>
  <c r="AJ60" i="8" a="1"/>
  <c r="AJ60" i="8" s="1"/>
  <c r="AJ40" i="8" a="1"/>
  <c r="AJ40" i="8" s="1"/>
  <c r="AJ20" i="8" a="1"/>
  <c r="AJ20" i="8" s="1"/>
  <c r="AJ59" i="8" a="1"/>
  <c r="AJ59" i="8" s="1"/>
  <c r="AJ39" i="8" a="1"/>
  <c r="AJ39" i="8" s="1"/>
  <c r="AJ19" i="8" a="1"/>
  <c r="AJ19" i="8" s="1"/>
  <c r="AJ58" i="8" a="1"/>
  <c r="AJ58" i="8" s="1"/>
  <c r="AJ38" i="8" a="1"/>
  <c r="AJ38" i="8" s="1"/>
  <c r="AJ18" i="8" a="1"/>
  <c r="AJ18" i="8" s="1"/>
  <c r="AJ57" i="8" a="1"/>
  <c r="AJ57" i="8" s="1"/>
  <c r="AJ37" i="8" a="1"/>
  <c r="AJ37" i="8" s="1"/>
  <c r="AJ17" i="8" a="1"/>
  <c r="AJ17" i="8" s="1"/>
  <c r="AJ56" i="8" a="1"/>
  <c r="AJ56" i="8" s="1"/>
  <c r="AJ36" i="8" a="1"/>
  <c r="AJ36" i="8" s="1"/>
  <c r="AJ16" i="8" a="1"/>
  <c r="AJ16" i="8" s="1"/>
  <c r="AJ55" i="8" a="1"/>
  <c r="AJ55" i="8" s="1"/>
  <c r="AJ35" i="8" a="1"/>
  <c r="AJ35" i="8" s="1"/>
  <c r="AJ15" i="8" a="1"/>
  <c r="AJ15" i="8" s="1"/>
  <c r="AJ54" i="8" a="1"/>
  <c r="AJ54" i="8" s="1"/>
  <c r="AJ34" i="8" a="1"/>
  <c r="AJ34" i="8" s="1"/>
  <c r="AJ14" i="8" a="1"/>
  <c r="AJ14" i="8" s="1"/>
  <c r="AJ53" i="8" a="1"/>
  <c r="AJ53" i="8" s="1"/>
  <c r="AJ33" i="8" a="1"/>
  <c r="AJ33" i="8" s="1"/>
  <c r="AJ13" i="8" a="1"/>
  <c r="AJ13" i="8" s="1"/>
  <c r="AJ52" i="8" a="1"/>
  <c r="AJ52" i="8" s="1"/>
  <c r="AJ32" i="8" a="1"/>
  <c r="AJ32" i="8" s="1"/>
  <c r="AJ12" i="8" a="1"/>
  <c r="AJ12" i="8" s="1"/>
  <c r="AJ51" i="8" a="1"/>
  <c r="AJ51" i="8" s="1"/>
  <c r="AJ31" i="8" a="1"/>
  <c r="AJ31" i="8" s="1"/>
  <c r="AJ11" i="8" a="1"/>
  <c r="AJ11" i="8" s="1"/>
  <c r="AJ50" i="8" a="1"/>
  <c r="AJ50" i="8" s="1"/>
  <c r="AJ30" i="8" a="1"/>
  <c r="AJ30" i="8" s="1"/>
  <c r="AJ10" i="8" a="1"/>
  <c r="AJ10" i="8" s="1"/>
  <c r="AJ49" i="8" a="1"/>
  <c r="AJ49" i="8" s="1"/>
  <c r="AJ29" i="8" a="1"/>
  <c r="AJ29" i="8" s="1"/>
  <c r="AJ9" i="8" a="1"/>
  <c r="AJ9" i="8" s="1"/>
  <c r="CC21" i="8" a="1"/>
  <c r="CC21" i="8" s="1"/>
  <c r="CB21" i="8"/>
  <c r="CC41" i="8" a="1"/>
  <c r="CC41" i="8" s="1"/>
  <c r="CB41" i="8"/>
  <c r="CC61" i="8" a="1"/>
  <c r="CC61" i="8" s="1"/>
  <c r="CB61" i="8"/>
  <c r="CC81" i="8" a="1"/>
  <c r="CC81" i="8" s="1"/>
  <c r="CB81" i="8"/>
  <c r="CC22" i="8" a="1"/>
  <c r="CC22" i="8" s="1"/>
  <c r="CB22" i="8"/>
  <c r="CC42" i="8" a="1"/>
  <c r="CC42" i="8" s="1"/>
  <c r="CB42" i="8"/>
  <c r="CC62" i="8" a="1"/>
  <c r="CC62" i="8" s="1"/>
  <c r="CB62" i="8"/>
  <c r="CC82" i="8" a="1"/>
  <c r="CC82" i="8" s="1"/>
  <c r="CB82" i="8"/>
  <c r="CB4" i="8"/>
  <c r="CC4" i="8" a="1"/>
  <c r="CC4" i="8" s="1"/>
  <c r="CB24" i="8"/>
  <c r="CC24" i="8" a="1"/>
  <c r="CC24" i="8" s="1"/>
  <c r="CB44" i="8"/>
  <c r="CC44" i="8" a="1"/>
  <c r="CC44" i="8" s="1"/>
  <c r="CB64" i="8"/>
  <c r="CC64" i="8" a="1"/>
  <c r="CC64" i="8" s="1"/>
  <c r="CB84" i="8"/>
  <c r="CC84" i="8" a="1"/>
  <c r="CC84" i="8" s="1"/>
  <c r="CC5" i="8" a="1"/>
  <c r="CC5" i="8" s="1"/>
  <c r="CB5" i="8"/>
  <c r="CC25" i="8" a="1"/>
  <c r="CC25" i="8" s="1"/>
  <c r="CB25" i="8"/>
  <c r="CC45" i="8" a="1"/>
  <c r="CC45" i="8" s="1"/>
  <c r="CB45" i="8"/>
  <c r="CC65" i="8" a="1"/>
  <c r="CC65" i="8" s="1"/>
  <c r="CB65" i="8"/>
  <c r="CC85" i="8" a="1"/>
  <c r="CC85" i="8" s="1"/>
  <c r="CB85" i="8"/>
  <c r="CC6" i="8" a="1"/>
  <c r="CC6" i="8" s="1"/>
  <c r="CB6" i="8"/>
  <c r="CC26" i="8" a="1"/>
  <c r="CC26" i="8" s="1"/>
  <c r="CB26" i="8"/>
  <c r="CC46" i="8" a="1"/>
  <c r="CC46" i="8" s="1"/>
  <c r="CB46" i="8"/>
  <c r="CC66" i="8" a="1"/>
  <c r="CC66" i="8" s="1"/>
  <c r="CB66" i="8"/>
  <c r="CC86" i="8" a="1"/>
  <c r="CC86" i="8" s="1"/>
  <c r="CB86" i="8"/>
  <c r="CB7" i="8"/>
  <c r="CC7" i="8" a="1"/>
  <c r="CC7" i="8" s="1"/>
  <c r="CB27" i="8"/>
  <c r="CC27" i="8" a="1"/>
  <c r="CC27" i="8" s="1"/>
  <c r="CB47" i="8"/>
  <c r="CC47" i="8" a="1"/>
  <c r="CC47" i="8" s="1"/>
  <c r="CB67" i="8"/>
  <c r="CC67" i="8" a="1"/>
  <c r="CC67" i="8" s="1"/>
  <c r="CB87" i="8"/>
  <c r="CC87" i="8" a="1"/>
  <c r="CC87" i="8" s="1"/>
  <c r="CC8" i="8" a="1"/>
  <c r="CC8" i="8" s="1"/>
  <c r="CB8" i="8"/>
  <c r="CC28" i="8" a="1"/>
  <c r="CC28" i="8" s="1"/>
  <c r="CB28" i="8"/>
  <c r="CC48" i="8" a="1"/>
  <c r="CC48" i="8" s="1"/>
  <c r="CB48" i="8"/>
  <c r="CC68" i="8" a="1"/>
  <c r="CC68" i="8" s="1"/>
  <c r="CB68" i="8"/>
  <c r="CC88" i="8" a="1"/>
  <c r="CC88" i="8" s="1"/>
  <c r="CB88" i="8"/>
  <c r="CC63" i="8" a="1"/>
  <c r="CC63" i="8" s="1"/>
  <c r="CB63" i="8"/>
  <c r="CC23" i="8" a="1"/>
  <c r="CC23" i="8" s="1"/>
  <c r="CB23" i="8"/>
  <c r="CC10" i="8" a="1"/>
  <c r="CC10" i="8" s="1"/>
  <c r="CB10" i="8"/>
  <c r="CC30" i="8" a="1"/>
  <c r="CC30" i="8" s="1"/>
  <c r="CB30" i="8"/>
  <c r="CC50" i="8" a="1"/>
  <c r="CC50" i="8" s="1"/>
  <c r="CB50" i="8"/>
  <c r="CC70" i="8" a="1"/>
  <c r="CC70" i="8" s="1"/>
  <c r="CB70" i="8"/>
  <c r="CC90" i="8" a="1"/>
  <c r="CC90" i="8" s="1"/>
  <c r="CB90" i="8"/>
  <c r="CC11" i="8" a="1"/>
  <c r="CC11" i="8" s="1"/>
  <c r="CB11" i="8"/>
  <c r="CC31" i="8" a="1"/>
  <c r="CC31" i="8" s="1"/>
  <c r="CB31" i="8"/>
  <c r="CC51" i="8" a="1"/>
  <c r="CC51" i="8" s="1"/>
  <c r="CB51" i="8"/>
  <c r="CC71" i="8" a="1"/>
  <c r="CC71" i="8" s="1"/>
  <c r="CB71" i="8"/>
  <c r="CC91" i="8" a="1"/>
  <c r="CC91" i="8" s="1"/>
  <c r="CB91" i="8"/>
  <c r="CC12" i="8" a="1"/>
  <c r="CC12" i="8" s="1"/>
  <c r="CB12" i="8"/>
  <c r="CC32" i="8" a="1"/>
  <c r="CC32" i="8" s="1"/>
  <c r="CB32" i="8"/>
  <c r="CC52" i="8" a="1"/>
  <c r="CC52" i="8" s="1"/>
  <c r="CB52" i="8"/>
  <c r="CC72" i="8" a="1"/>
  <c r="CC72" i="8" s="1"/>
  <c r="CB72" i="8"/>
  <c r="CC92" i="8" a="1"/>
  <c r="CC92" i="8" s="1"/>
  <c r="CB92" i="8"/>
  <c r="CC13" i="8" a="1"/>
  <c r="CC13" i="8" s="1"/>
  <c r="CB13" i="8"/>
  <c r="CC33" i="8" a="1"/>
  <c r="CC33" i="8" s="1"/>
  <c r="CB33" i="8"/>
  <c r="CC53" i="8" a="1"/>
  <c r="CC53" i="8" s="1"/>
  <c r="CB53" i="8"/>
  <c r="CC73" i="8" a="1"/>
  <c r="CC73" i="8" s="1"/>
  <c r="CB73" i="8"/>
  <c r="CC93" i="8" a="1"/>
  <c r="CC93" i="8" s="1"/>
  <c r="CB93" i="8"/>
  <c r="CB14" i="8"/>
  <c r="CC14" i="8" a="1"/>
  <c r="CC14" i="8" s="1"/>
  <c r="CB34" i="8"/>
  <c r="CC34" i="8" a="1"/>
  <c r="CC34" i="8" s="1"/>
  <c r="CB54" i="8"/>
  <c r="CC54" i="8" a="1"/>
  <c r="CC54" i="8" s="1"/>
  <c r="CB74" i="8"/>
  <c r="CC74" i="8" a="1"/>
  <c r="CC74" i="8" s="1"/>
  <c r="CB94" i="8"/>
  <c r="CC94" i="8" a="1"/>
  <c r="CC94" i="8" s="1"/>
  <c r="CC15" i="8" a="1"/>
  <c r="CC15" i="8" s="1"/>
  <c r="CB15" i="8"/>
  <c r="CC35" i="8" a="1"/>
  <c r="CC35" i="8" s="1"/>
  <c r="CB35" i="8"/>
  <c r="CC55" i="8" a="1"/>
  <c r="CC55" i="8" s="1"/>
  <c r="CB55" i="8"/>
  <c r="CC75" i="8" a="1"/>
  <c r="CC75" i="8" s="1"/>
  <c r="CB75" i="8"/>
  <c r="CC95" i="8" a="1"/>
  <c r="CC95" i="8" s="1"/>
  <c r="CB95" i="8"/>
  <c r="CC83" i="8" a="1"/>
  <c r="CC83" i="8" s="1"/>
  <c r="CB83" i="8"/>
  <c r="CC49" i="8" a="1"/>
  <c r="CC49" i="8" s="1"/>
  <c r="CB49" i="8"/>
  <c r="CC16" i="8" a="1"/>
  <c r="CC16" i="8" s="1"/>
  <c r="CB16" i="8"/>
  <c r="CC36" i="8" a="1"/>
  <c r="CC36" i="8" s="1"/>
  <c r="CB36" i="8"/>
  <c r="CC56" i="8" a="1"/>
  <c r="CC56" i="8" s="1"/>
  <c r="CB56" i="8"/>
  <c r="CC76" i="8" a="1"/>
  <c r="CC76" i="8" s="1"/>
  <c r="CB76" i="8"/>
  <c r="CC96" i="8" a="1"/>
  <c r="CC96" i="8" s="1"/>
  <c r="CB96" i="8"/>
  <c r="CC69" i="8" a="1"/>
  <c r="CC69" i="8" s="1"/>
  <c r="CB69" i="8"/>
  <c r="CB17" i="8"/>
  <c r="CC17" i="8" a="1"/>
  <c r="CC17" i="8" s="1"/>
  <c r="CB37" i="8"/>
  <c r="CC37" i="8" a="1"/>
  <c r="CC37" i="8" s="1"/>
  <c r="CB57" i="8"/>
  <c r="CC57" i="8" a="1"/>
  <c r="CC57" i="8" s="1"/>
  <c r="CB77" i="8"/>
  <c r="CC77" i="8" a="1"/>
  <c r="CC77" i="8" s="1"/>
  <c r="CB97" i="8"/>
  <c r="CC97" i="8" a="1"/>
  <c r="CC97" i="8" s="1"/>
  <c r="CC43" i="8" a="1"/>
  <c r="CC43" i="8" s="1"/>
  <c r="CB43" i="8"/>
  <c r="CC89" i="8" a="1"/>
  <c r="CC89" i="8" s="1"/>
  <c r="CB89" i="8"/>
  <c r="CC18" i="8" a="1"/>
  <c r="CC18" i="8" s="1"/>
  <c r="CB18" i="8"/>
  <c r="CC38" i="8" a="1"/>
  <c r="CC38" i="8" s="1"/>
  <c r="CB38" i="8"/>
  <c r="CC58" i="8" a="1"/>
  <c r="CC58" i="8" s="1"/>
  <c r="CB58" i="8"/>
  <c r="CC78" i="8" a="1"/>
  <c r="CC78" i="8" s="1"/>
  <c r="CB78" i="8"/>
  <c r="CC98" i="8" a="1"/>
  <c r="CC98" i="8" s="1"/>
  <c r="CB98" i="8"/>
  <c r="CC9" i="8" a="1"/>
  <c r="CC9" i="8" s="1"/>
  <c r="CB9" i="8"/>
  <c r="CC19" i="8" a="1"/>
  <c r="CC19" i="8" s="1"/>
  <c r="CB19" i="8"/>
  <c r="CC39" i="8" a="1"/>
  <c r="CC39" i="8" s="1"/>
  <c r="CB39" i="8"/>
  <c r="CC59" i="8" a="1"/>
  <c r="CC59" i="8" s="1"/>
  <c r="CB59" i="8"/>
  <c r="CC79" i="8" a="1"/>
  <c r="CC79" i="8" s="1"/>
  <c r="CB79" i="8"/>
  <c r="CC99" i="8" a="1"/>
  <c r="CC99" i="8" s="1"/>
  <c r="CB99" i="8"/>
  <c r="CC29" i="8" a="1"/>
  <c r="CC29" i="8" s="1"/>
  <c r="CB29" i="8"/>
  <c r="CC20" i="8" a="1"/>
  <c r="CC20" i="8" s="1"/>
  <c r="CB20" i="8"/>
  <c r="CC40" i="8" a="1"/>
  <c r="CC40" i="8" s="1"/>
  <c r="CB40" i="8"/>
  <c r="CC60" i="8" a="1"/>
  <c r="CC60" i="8" s="1"/>
  <c r="CB60" i="8"/>
  <c r="CC80" i="8" a="1"/>
  <c r="CC80" i="8" s="1"/>
  <c r="CB80" i="8"/>
  <c r="CC100" i="8" a="1"/>
  <c r="CC100" i="8" s="1"/>
  <c r="CB100" i="8"/>
  <c r="BX23" i="8" a="1"/>
  <c r="BX23" i="8" s="1"/>
  <c r="BW23" i="8"/>
  <c r="BX43" i="8" a="1"/>
  <c r="BX43" i="8" s="1"/>
  <c r="BW43" i="8"/>
  <c r="BX63" i="8" a="1"/>
  <c r="BX63" i="8" s="1"/>
  <c r="BW63" i="8"/>
  <c r="BX82" i="8" a="1"/>
  <c r="BX82" i="8" s="1"/>
  <c r="BW82" i="8"/>
  <c r="BW4" i="8"/>
  <c r="BX4" i="8" a="1"/>
  <c r="BX4" i="8" s="1"/>
  <c r="BW24" i="8"/>
  <c r="BX24" i="8" a="1"/>
  <c r="BX24" i="8" s="1"/>
  <c r="BW44" i="8"/>
  <c r="BX44" i="8" a="1"/>
  <c r="BX44" i="8" s="1"/>
  <c r="BW64" i="8"/>
  <c r="BX64" i="8" a="1"/>
  <c r="BX64" i="8" s="1"/>
  <c r="BX83" i="8" a="1"/>
  <c r="BX83" i="8" s="1"/>
  <c r="BW83" i="8"/>
  <c r="BX6" i="8" a="1"/>
  <c r="BX6" i="8" s="1"/>
  <c r="BW6" i="8"/>
  <c r="BX26" i="8" a="1"/>
  <c r="BX26" i="8" s="1"/>
  <c r="BW26" i="8"/>
  <c r="BX46" i="8" a="1"/>
  <c r="BX46" i="8" s="1"/>
  <c r="BW46" i="8"/>
  <c r="BX66" i="8" a="1"/>
  <c r="BX66" i="8" s="1"/>
  <c r="BW66" i="8"/>
  <c r="BX5" i="8" a="1"/>
  <c r="BX5" i="8" s="1"/>
  <c r="BW5" i="8"/>
  <c r="BX25" i="8" a="1"/>
  <c r="BX25" i="8" s="1"/>
  <c r="BW25" i="8"/>
  <c r="BX45" i="8" a="1"/>
  <c r="BX45" i="8" s="1"/>
  <c r="BW45" i="8"/>
  <c r="BX65" i="8" a="1"/>
  <c r="BX65" i="8" s="1"/>
  <c r="BW65" i="8"/>
  <c r="BW84" i="8"/>
  <c r="BX84" i="8" a="1"/>
  <c r="BX84" i="8" s="1"/>
  <c r="BX85" i="8" a="1"/>
  <c r="BX85" i="8" s="1"/>
  <c r="BW85" i="8"/>
  <c r="BW7" i="8"/>
  <c r="BX7" i="8" a="1"/>
  <c r="BX7" i="8" s="1"/>
  <c r="BW27" i="8"/>
  <c r="BX27" i="8" a="1"/>
  <c r="BX27" i="8" s="1"/>
  <c r="BW47" i="8"/>
  <c r="BX47" i="8" a="1"/>
  <c r="BX47" i="8" s="1"/>
  <c r="BW67" i="8"/>
  <c r="BX67" i="8" a="1"/>
  <c r="BX67" i="8" s="1"/>
  <c r="BX86" i="8" a="1"/>
  <c r="BX86" i="8" s="1"/>
  <c r="BW86" i="8"/>
  <c r="BX10" i="8" a="1"/>
  <c r="BX10" i="8" s="1"/>
  <c r="BW10" i="8"/>
  <c r="BX50" i="8" a="1"/>
  <c r="BX50" i="8" s="1"/>
  <c r="BW50" i="8"/>
  <c r="BX70" i="8" a="1"/>
  <c r="BX70" i="8" s="1"/>
  <c r="BW70" i="8"/>
  <c r="BX89" i="8" a="1"/>
  <c r="BX89" i="8" s="1"/>
  <c r="BW89" i="8"/>
  <c r="BX11" i="8" a="1"/>
  <c r="BX11" i="8" s="1"/>
  <c r="BW11" i="8"/>
  <c r="BX31" i="8" a="1"/>
  <c r="BX31" i="8" s="1"/>
  <c r="BW31" i="8"/>
  <c r="BX51" i="8" a="1"/>
  <c r="BX51" i="8" s="1"/>
  <c r="BW51" i="8"/>
  <c r="BX71" i="8" a="1"/>
  <c r="BX71" i="8" s="1"/>
  <c r="BW71" i="8"/>
  <c r="BX90" i="8" a="1"/>
  <c r="BX90" i="8" s="1"/>
  <c r="BW90" i="8"/>
  <c r="BX30" i="8" a="1"/>
  <c r="BX30" i="8" s="1"/>
  <c r="BW30" i="8"/>
  <c r="BX12" i="8" a="1"/>
  <c r="BX12" i="8" s="1"/>
  <c r="BW12" i="8"/>
  <c r="BX32" i="8" a="1"/>
  <c r="BX32" i="8" s="1"/>
  <c r="BW32" i="8"/>
  <c r="BX52" i="8" a="1"/>
  <c r="BX52" i="8" s="1"/>
  <c r="BW52" i="8"/>
  <c r="BX72" i="8" a="1"/>
  <c r="BX72" i="8" s="1"/>
  <c r="BW72" i="8"/>
  <c r="BX48" i="8" a="1"/>
  <c r="BX48" i="8" s="1"/>
  <c r="BW48" i="8"/>
  <c r="BX69" i="8" a="1"/>
  <c r="BX69" i="8" s="1"/>
  <c r="BW69" i="8"/>
  <c r="BX73" i="8" a="1"/>
  <c r="BX73" i="8" s="1"/>
  <c r="BW73" i="8"/>
  <c r="BW14" i="8"/>
  <c r="BX14" i="8" a="1"/>
  <c r="BX14" i="8" s="1"/>
  <c r="BW34" i="8"/>
  <c r="BX34" i="8" a="1"/>
  <c r="BX34" i="8" s="1"/>
  <c r="BW54" i="8"/>
  <c r="BX54" i="8" a="1"/>
  <c r="BX54" i="8" s="1"/>
  <c r="BW74" i="8"/>
  <c r="BX74" i="8" a="1"/>
  <c r="BX74" i="8" s="1"/>
  <c r="BX92" i="8" a="1"/>
  <c r="BX92" i="8" s="1"/>
  <c r="BW92" i="8"/>
  <c r="BX68" i="8" a="1"/>
  <c r="BX68" i="8" s="1"/>
  <c r="BW68" i="8"/>
  <c r="BX53" i="8" a="1"/>
  <c r="BX53" i="8" s="1"/>
  <c r="BW53" i="8"/>
  <c r="BX15" i="8" a="1"/>
  <c r="BX15" i="8" s="1"/>
  <c r="BW15" i="8"/>
  <c r="BX35" i="8" a="1"/>
  <c r="BX35" i="8" s="1"/>
  <c r="BW35" i="8"/>
  <c r="BX55" i="8" a="1"/>
  <c r="BX55" i="8" s="1"/>
  <c r="BW55" i="8"/>
  <c r="BX75" i="8" a="1"/>
  <c r="BX75" i="8" s="1"/>
  <c r="BW75" i="8"/>
  <c r="BX93" i="8" a="1"/>
  <c r="BX93" i="8" s="1"/>
  <c r="BW93" i="8"/>
  <c r="BX8" i="8" a="1"/>
  <c r="BX8" i="8" s="1"/>
  <c r="BW8" i="8"/>
  <c r="BX29" i="8" a="1"/>
  <c r="BX29" i="8" s="1"/>
  <c r="BW29" i="8"/>
  <c r="BX16" i="8" a="1"/>
  <c r="BX16" i="8" s="1"/>
  <c r="BW16" i="8"/>
  <c r="BX36" i="8" a="1"/>
  <c r="BX36" i="8" s="1"/>
  <c r="BW36" i="8"/>
  <c r="BX56" i="8" a="1"/>
  <c r="BX56" i="8" s="1"/>
  <c r="BW56" i="8"/>
  <c r="BX76" i="8" a="1"/>
  <c r="BX76" i="8" s="1"/>
  <c r="BW76" i="8"/>
  <c r="BW94" i="8"/>
  <c r="BX94" i="8" a="1"/>
  <c r="BX94" i="8" s="1"/>
  <c r="BW87" i="8"/>
  <c r="BX87" i="8" a="1"/>
  <c r="BX87" i="8" s="1"/>
  <c r="BX9" i="8" a="1"/>
  <c r="BX9" i="8" s="1"/>
  <c r="BW9" i="8"/>
  <c r="BW17" i="8"/>
  <c r="BX17" i="8" a="1"/>
  <c r="BX17" i="8" s="1"/>
  <c r="BW37" i="8"/>
  <c r="BX37" i="8" a="1"/>
  <c r="BX37" i="8" s="1"/>
  <c r="BW57" i="8"/>
  <c r="BX57" i="8" a="1"/>
  <c r="BX57" i="8" s="1"/>
  <c r="BW77" i="8"/>
  <c r="BX77" i="8" a="1"/>
  <c r="BX77" i="8" s="1"/>
  <c r="BX95" i="8" a="1"/>
  <c r="BX95" i="8" s="1"/>
  <c r="BW95" i="8"/>
  <c r="BX13" i="8" a="1"/>
  <c r="BX13" i="8" s="1"/>
  <c r="BW13" i="8"/>
  <c r="BX18" i="8" a="1"/>
  <c r="BX18" i="8" s="1"/>
  <c r="BW18" i="8"/>
  <c r="BX38" i="8" a="1"/>
  <c r="BX38" i="8" s="1"/>
  <c r="BW38" i="8"/>
  <c r="BX58" i="8" a="1"/>
  <c r="BX58" i="8" s="1"/>
  <c r="BW58" i="8"/>
  <c r="BX78" i="8" a="1"/>
  <c r="BX78" i="8" s="1"/>
  <c r="BW78" i="8"/>
  <c r="BX96" i="8" a="1"/>
  <c r="BX96" i="8" s="1"/>
  <c r="BW96" i="8"/>
  <c r="BX33" i="8" a="1"/>
  <c r="BX33" i="8" s="1"/>
  <c r="BW33" i="8"/>
  <c r="BX19" i="8" a="1"/>
  <c r="BX19" i="8" s="1"/>
  <c r="BW19" i="8"/>
  <c r="BX39" i="8" a="1"/>
  <c r="BX39" i="8" s="1"/>
  <c r="BW39" i="8"/>
  <c r="BX59" i="8" a="1"/>
  <c r="BX59" i="8" s="1"/>
  <c r="BW59" i="8"/>
  <c r="BX79" i="8" a="1"/>
  <c r="BX79" i="8" s="1"/>
  <c r="BW79" i="8"/>
  <c r="BW97" i="8"/>
  <c r="BX97" i="8" a="1"/>
  <c r="BX97" i="8" s="1"/>
  <c r="BX28" i="8" a="1"/>
  <c r="BX28" i="8" s="1"/>
  <c r="BW28" i="8"/>
  <c r="BX49" i="8" a="1"/>
  <c r="BX49" i="8" s="1"/>
  <c r="BW49" i="8"/>
  <c r="BX20" i="8" a="1"/>
  <c r="BX20" i="8" s="1"/>
  <c r="BW20" i="8"/>
  <c r="BX40" i="8" a="1"/>
  <c r="BX40" i="8" s="1"/>
  <c r="BW40" i="8"/>
  <c r="BX60" i="8" a="1"/>
  <c r="BX60" i="8" s="1"/>
  <c r="BW60" i="8"/>
  <c r="BX80" i="8" a="1"/>
  <c r="BX80" i="8" s="1"/>
  <c r="BW80" i="8"/>
  <c r="BX98" i="8" a="1"/>
  <c r="BX98" i="8" s="1"/>
  <c r="BW98" i="8"/>
  <c r="BX88" i="8" a="1"/>
  <c r="BX88" i="8" s="1"/>
  <c r="BW88" i="8"/>
  <c r="BX21" i="8" a="1"/>
  <c r="BX21" i="8" s="1"/>
  <c r="BW21" i="8"/>
  <c r="BX41" i="8" a="1"/>
  <c r="BX41" i="8" s="1"/>
  <c r="BW41" i="8"/>
  <c r="BX61" i="8" a="1"/>
  <c r="BX61" i="8" s="1"/>
  <c r="BW61" i="8"/>
  <c r="BX99" i="8" a="1"/>
  <c r="BX99" i="8" s="1"/>
  <c r="BW99" i="8"/>
  <c r="BX22" i="8" a="1"/>
  <c r="BX22" i="8" s="1"/>
  <c r="BW22" i="8"/>
  <c r="BX42" i="8" a="1"/>
  <c r="BX42" i="8" s="1"/>
  <c r="BW42" i="8"/>
  <c r="BX62" i="8" a="1"/>
  <c r="BX62" i="8" s="1"/>
  <c r="BW62" i="8"/>
  <c r="BX100" i="8" a="1"/>
  <c r="BX100" i="8" s="1"/>
  <c r="BW100" i="8"/>
  <c r="BW81" i="8"/>
  <c r="BS23" i="8" a="1"/>
  <c r="BS23" i="8" s="1"/>
  <c r="BR23" i="8"/>
  <c r="BS43" i="8" a="1"/>
  <c r="BS43" i="8" s="1"/>
  <c r="BR43" i="8"/>
  <c r="BS63" i="8" a="1"/>
  <c r="BS63" i="8" s="1"/>
  <c r="BR63" i="8"/>
  <c r="BS83" i="8" a="1"/>
  <c r="BS83" i="8" s="1"/>
  <c r="BR83" i="8"/>
  <c r="BS41" i="8" a="1"/>
  <c r="BS41" i="8" s="1"/>
  <c r="BR41" i="8"/>
  <c r="BR4" i="8"/>
  <c r="BS4" i="8" a="1"/>
  <c r="BS4" i="8" s="1"/>
  <c r="BR24" i="8"/>
  <c r="BS24" i="8" a="1"/>
  <c r="BS24" i="8" s="1"/>
  <c r="BR44" i="8"/>
  <c r="BS44" i="8" a="1"/>
  <c r="BS44" i="8" s="1"/>
  <c r="BR64" i="8"/>
  <c r="BS64" i="8" a="1"/>
  <c r="BS64" i="8" s="1"/>
  <c r="BR84" i="8"/>
  <c r="BS84" i="8" a="1"/>
  <c r="BS84" i="8" s="1"/>
  <c r="BS82" i="8" a="1"/>
  <c r="BS82" i="8" s="1"/>
  <c r="BR82" i="8"/>
  <c r="BS5" i="8" a="1"/>
  <c r="BS5" i="8" s="1"/>
  <c r="BR5" i="8"/>
  <c r="BS25" i="8" a="1"/>
  <c r="BS25" i="8" s="1"/>
  <c r="BR25" i="8"/>
  <c r="BS45" i="8" a="1"/>
  <c r="BS45" i="8" s="1"/>
  <c r="BR45" i="8"/>
  <c r="BS65" i="8" a="1"/>
  <c r="BS65" i="8" s="1"/>
  <c r="BR65" i="8"/>
  <c r="BS85" i="8" a="1"/>
  <c r="BS85" i="8" s="1"/>
  <c r="BR85" i="8"/>
  <c r="BS22" i="8" a="1"/>
  <c r="BS22" i="8" s="1"/>
  <c r="BR22" i="8"/>
  <c r="BS6" i="8" a="1"/>
  <c r="BS6" i="8" s="1"/>
  <c r="BR6" i="8"/>
  <c r="BS26" i="8" a="1"/>
  <c r="BS26" i="8" s="1"/>
  <c r="BR26" i="8"/>
  <c r="BS46" i="8" a="1"/>
  <c r="BS46" i="8" s="1"/>
  <c r="BR46" i="8"/>
  <c r="BS66" i="8" a="1"/>
  <c r="BS66" i="8" s="1"/>
  <c r="BR66" i="8"/>
  <c r="BS86" i="8" a="1"/>
  <c r="BS86" i="8" s="1"/>
  <c r="BR86" i="8"/>
  <c r="BS21" i="8" a="1"/>
  <c r="BS21" i="8" s="1"/>
  <c r="BR21" i="8"/>
  <c r="BR7" i="8"/>
  <c r="BS7" i="8" a="1"/>
  <c r="BS7" i="8" s="1"/>
  <c r="BR27" i="8"/>
  <c r="BS27" i="8" a="1"/>
  <c r="BS27" i="8" s="1"/>
  <c r="BR47" i="8"/>
  <c r="BS47" i="8" a="1"/>
  <c r="BS47" i="8" s="1"/>
  <c r="BR67" i="8"/>
  <c r="BS67" i="8" a="1"/>
  <c r="BS67" i="8" s="1"/>
  <c r="BR87" i="8"/>
  <c r="BS87" i="8" a="1"/>
  <c r="BS87" i="8" s="1"/>
  <c r="BS8" i="8" a="1"/>
  <c r="BS8" i="8" s="1"/>
  <c r="BR8" i="8"/>
  <c r="BS28" i="8" a="1"/>
  <c r="BS28" i="8" s="1"/>
  <c r="BR28" i="8"/>
  <c r="BS48" i="8" a="1"/>
  <c r="BS48" i="8" s="1"/>
  <c r="BR48" i="8"/>
  <c r="BS68" i="8" a="1"/>
  <c r="BS68" i="8" s="1"/>
  <c r="BR68" i="8"/>
  <c r="BS88" i="8" a="1"/>
  <c r="BS88" i="8" s="1"/>
  <c r="BR88" i="8"/>
  <c r="BS81" i="8" a="1"/>
  <c r="BS81" i="8" s="1"/>
  <c r="BR81" i="8"/>
  <c r="BS9" i="8" a="1"/>
  <c r="BS9" i="8" s="1"/>
  <c r="BR9" i="8"/>
  <c r="BS29" i="8" a="1"/>
  <c r="BS29" i="8" s="1"/>
  <c r="BR29" i="8"/>
  <c r="BS49" i="8" a="1"/>
  <c r="BS49" i="8" s="1"/>
  <c r="BR49" i="8"/>
  <c r="BS69" i="8" a="1"/>
  <c r="BS69" i="8" s="1"/>
  <c r="BR69" i="8"/>
  <c r="BS89" i="8" a="1"/>
  <c r="BS89" i="8" s="1"/>
  <c r="BR89" i="8"/>
  <c r="BS10" i="8" a="1"/>
  <c r="BS10" i="8" s="1"/>
  <c r="BR10" i="8"/>
  <c r="BS30" i="8" a="1"/>
  <c r="BS30" i="8" s="1"/>
  <c r="BR30" i="8"/>
  <c r="BS50" i="8" a="1"/>
  <c r="BS50" i="8" s="1"/>
  <c r="BR50" i="8"/>
  <c r="BS70" i="8" a="1"/>
  <c r="BS70" i="8" s="1"/>
  <c r="BR70" i="8"/>
  <c r="BS90" i="8" a="1"/>
  <c r="BS90" i="8" s="1"/>
  <c r="BR90" i="8"/>
  <c r="BS11" i="8" a="1"/>
  <c r="BS11" i="8" s="1"/>
  <c r="BR11" i="8"/>
  <c r="BS31" i="8" a="1"/>
  <c r="BS31" i="8" s="1"/>
  <c r="BR31" i="8"/>
  <c r="BS51" i="8" a="1"/>
  <c r="BS51" i="8" s="1"/>
  <c r="BR51" i="8"/>
  <c r="BS71" i="8" a="1"/>
  <c r="BS71" i="8" s="1"/>
  <c r="BR71" i="8"/>
  <c r="BS91" i="8" a="1"/>
  <c r="BS91" i="8" s="1"/>
  <c r="BR91" i="8"/>
  <c r="BS12" i="8" a="1"/>
  <c r="BS12" i="8" s="1"/>
  <c r="BR12" i="8"/>
  <c r="BS32" i="8" a="1"/>
  <c r="BS32" i="8" s="1"/>
  <c r="BR32" i="8"/>
  <c r="BS52" i="8" a="1"/>
  <c r="BS52" i="8" s="1"/>
  <c r="BR52" i="8"/>
  <c r="BS72" i="8" a="1"/>
  <c r="BS72" i="8" s="1"/>
  <c r="BR72" i="8"/>
  <c r="BS92" i="8" a="1"/>
  <c r="BS92" i="8" s="1"/>
  <c r="BR92" i="8"/>
  <c r="BS13" i="8" a="1"/>
  <c r="BS13" i="8" s="1"/>
  <c r="BR13" i="8"/>
  <c r="BS33" i="8" a="1"/>
  <c r="BS33" i="8" s="1"/>
  <c r="BR33" i="8"/>
  <c r="BS53" i="8" a="1"/>
  <c r="BS53" i="8" s="1"/>
  <c r="BR53" i="8"/>
  <c r="BS73" i="8" a="1"/>
  <c r="BS73" i="8" s="1"/>
  <c r="BR73" i="8"/>
  <c r="BS93" i="8" a="1"/>
  <c r="BS93" i="8" s="1"/>
  <c r="BR93" i="8"/>
  <c r="BR14" i="8"/>
  <c r="BS14" i="8" a="1"/>
  <c r="BS14" i="8" s="1"/>
  <c r="BR34" i="8"/>
  <c r="BS34" i="8" a="1"/>
  <c r="BS34" i="8" s="1"/>
  <c r="BR54" i="8"/>
  <c r="BS54" i="8" a="1"/>
  <c r="BS54" i="8" s="1"/>
  <c r="BR74" i="8"/>
  <c r="BS74" i="8" a="1"/>
  <c r="BS74" i="8" s="1"/>
  <c r="BR94" i="8"/>
  <c r="BS94" i="8" a="1"/>
  <c r="BS94" i="8" s="1"/>
  <c r="BS15" i="8" a="1"/>
  <c r="BS15" i="8" s="1"/>
  <c r="BR15" i="8"/>
  <c r="BS35" i="8" a="1"/>
  <c r="BS35" i="8" s="1"/>
  <c r="BR35" i="8"/>
  <c r="BS55" i="8" a="1"/>
  <c r="BS55" i="8" s="1"/>
  <c r="BR55" i="8"/>
  <c r="BS75" i="8" a="1"/>
  <c r="BS75" i="8" s="1"/>
  <c r="BR75" i="8"/>
  <c r="BS95" i="8" a="1"/>
  <c r="BS95" i="8" s="1"/>
  <c r="BR95" i="8"/>
  <c r="BS61" i="8" a="1"/>
  <c r="BS61" i="8" s="1"/>
  <c r="BR61" i="8"/>
  <c r="BS16" i="8" a="1"/>
  <c r="BS16" i="8" s="1"/>
  <c r="BR16" i="8"/>
  <c r="BS36" i="8" a="1"/>
  <c r="BS36" i="8" s="1"/>
  <c r="BR36" i="8"/>
  <c r="BS56" i="8" a="1"/>
  <c r="BS56" i="8" s="1"/>
  <c r="BR56" i="8"/>
  <c r="BS76" i="8" a="1"/>
  <c r="BS76" i="8" s="1"/>
  <c r="BR76" i="8"/>
  <c r="BS96" i="8" a="1"/>
  <c r="BS96" i="8" s="1"/>
  <c r="BR96" i="8"/>
  <c r="BR17" i="8"/>
  <c r="BS17" i="8" a="1"/>
  <c r="BS17" i="8" s="1"/>
  <c r="BR37" i="8"/>
  <c r="BS37" i="8" a="1"/>
  <c r="BS37" i="8" s="1"/>
  <c r="BR57" i="8"/>
  <c r="BS57" i="8" a="1"/>
  <c r="BS57" i="8" s="1"/>
  <c r="BR77" i="8"/>
  <c r="BS77" i="8" a="1"/>
  <c r="BS77" i="8" s="1"/>
  <c r="BR97" i="8"/>
  <c r="BS97" i="8" a="1"/>
  <c r="BS97" i="8" s="1"/>
  <c r="BS42" i="8" a="1"/>
  <c r="BS42" i="8" s="1"/>
  <c r="BR42" i="8"/>
  <c r="BS18" i="8" a="1"/>
  <c r="BS18" i="8" s="1"/>
  <c r="BR18" i="8"/>
  <c r="BS38" i="8" a="1"/>
  <c r="BS38" i="8" s="1"/>
  <c r="BR38" i="8"/>
  <c r="BS58" i="8" a="1"/>
  <c r="BS58" i="8" s="1"/>
  <c r="BR58" i="8"/>
  <c r="BS78" i="8" a="1"/>
  <c r="BS78" i="8" s="1"/>
  <c r="BR78" i="8"/>
  <c r="BS98" i="8" a="1"/>
  <c r="BS98" i="8" s="1"/>
  <c r="BR98" i="8"/>
  <c r="BS19" i="8" a="1"/>
  <c r="BS19" i="8" s="1"/>
  <c r="BR19" i="8"/>
  <c r="BS39" i="8" a="1"/>
  <c r="BS39" i="8" s="1"/>
  <c r="BR39" i="8"/>
  <c r="BS59" i="8" a="1"/>
  <c r="BS59" i="8" s="1"/>
  <c r="BR59" i="8"/>
  <c r="BS79" i="8" a="1"/>
  <c r="BS79" i="8" s="1"/>
  <c r="BR79" i="8"/>
  <c r="BS99" i="8" a="1"/>
  <c r="BS99" i="8" s="1"/>
  <c r="BR99" i="8"/>
  <c r="BS62" i="8" a="1"/>
  <c r="BS62" i="8" s="1"/>
  <c r="BR62" i="8"/>
  <c r="BS20" i="8" a="1"/>
  <c r="BS20" i="8" s="1"/>
  <c r="BR20" i="8"/>
  <c r="BS40" i="8" a="1"/>
  <c r="BS40" i="8" s="1"/>
  <c r="BR40" i="8"/>
  <c r="BS60" i="8" a="1"/>
  <c r="BS60" i="8" s="1"/>
  <c r="BR60" i="8"/>
  <c r="BS80" i="8" a="1"/>
  <c r="BS80" i="8" s="1"/>
  <c r="BR80" i="8"/>
  <c r="BS100" i="8" a="1"/>
  <c r="BS100" i="8" s="1"/>
  <c r="BR100" i="8"/>
  <c r="BN21" i="8" a="1"/>
  <c r="BN21" i="8" s="1"/>
  <c r="BM21" i="8"/>
  <c r="BN41" i="8" a="1"/>
  <c r="BN41" i="8" s="1"/>
  <c r="BM41" i="8"/>
  <c r="BN61" i="8" a="1"/>
  <c r="BN61" i="8" s="1"/>
  <c r="BM61" i="8"/>
  <c r="BN81" i="8" a="1"/>
  <c r="BN81" i="8" s="1"/>
  <c r="BM81" i="8"/>
  <c r="BN22" i="8" a="1"/>
  <c r="BN22" i="8" s="1"/>
  <c r="BM22" i="8"/>
  <c r="BN42" i="8" a="1"/>
  <c r="BN42" i="8" s="1"/>
  <c r="BM42" i="8"/>
  <c r="BN62" i="8" a="1"/>
  <c r="BN62" i="8" s="1"/>
  <c r="BM62" i="8"/>
  <c r="BN82" i="8" a="1"/>
  <c r="BN82" i="8" s="1"/>
  <c r="BM82" i="8"/>
  <c r="BN23" i="8" a="1"/>
  <c r="BN23" i="8" s="1"/>
  <c r="BM23" i="8"/>
  <c r="BN43" i="8" a="1"/>
  <c r="BN43" i="8" s="1"/>
  <c r="BM43" i="8"/>
  <c r="BN63" i="8" a="1"/>
  <c r="BN63" i="8" s="1"/>
  <c r="BM63" i="8"/>
  <c r="BN83" i="8" a="1"/>
  <c r="BN83" i="8" s="1"/>
  <c r="BM83" i="8"/>
  <c r="BM4" i="8"/>
  <c r="BN4" i="8" a="1"/>
  <c r="BN4" i="8" s="1"/>
  <c r="BM24" i="8"/>
  <c r="BN24" i="8" a="1"/>
  <c r="BN24" i="8" s="1"/>
  <c r="BM44" i="8"/>
  <c r="BN44" i="8" a="1"/>
  <c r="BN44" i="8" s="1"/>
  <c r="BM64" i="8"/>
  <c r="BN64" i="8" a="1"/>
  <c r="BN64" i="8" s="1"/>
  <c r="BM84" i="8"/>
  <c r="BN84" i="8" a="1"/>
  <c r="BN84" i="8" s="1"/>
  <c r="BN5" i="8" a="1"/>
  <c r="BN5" i="8" s="1"/>
  <c r="BM5" i="8"/>
  <c r="BN25" i="8" a="1"/>
  <c r="BN25" i="8" s="1"/>
  <c r="BM25" i="8"/>
  <c r="BN45" i="8" a="1"/>
  <c r="BN45" i="8" s="1"/>
  <c r="BM45" i="8"/>
  <c r="BN65" i="8" a="1"/>
  <c r="BN65" i="8" s="1"/>
  <c r="BM65" i="8"/>
  <c r="BN85" i="8" a="1"/>
  <c r="BN85" i="8" s="1"/>
  <c r="BM85" i="8"/>
  <c r="BM7" i="8"/>
  <c r="BN7" i="8" a="1"/>
  <c r="BN7" i="8" s="1"/>
  <c r="BM27" i="8"/>
  <c r="BN27" i="8" a="1"/>
  <c r="BN27" i="8" s="1"/>
  <c r="BM47" i="8"/>
  <c r="BN47" i="8" a="1"/>
  <c r="BN47" i="8" s="1"/>
  <c r="BM67" i="8"/>
  <c r="BN67" i="8" a="1"/>
  <c r="BN67" i="8" s="1"/>
  <c r="BM87" i="8"/>
  <c r="BN87" i="8" a="1"/>
  <c r="BN87" i="8" s="1"/>
  <c r="BN66" i="8" a="1"/>
  <c r="BN66" i="8" s="1"/>
  <c r="BM66" i="8"/>
  <c r="BN8" i="8" a="1"/>
  <c r="BN8" i="8" s="1"/>
  <c r="BM8" i="8"/>
  <c r="BN28" i="8" a="1"/>
  <c r="BN28" i="8" s="1"/>
  <c r="BM28" i="8"/>
  <c r="BN48" i="8" a="1"/>
  <c r="BN48" i="8" s="1"/>
  <c r="BM48" i="8"/>
  <c r="BN68" i="8" a="1"/>
  <c r="BN68" i="8" s="1"/>
  <c r="BM68" i="8"/>
  <c r="BN88" i="8" a="1"/>
  <c r="BN88" i="8" s="1"/>
  <c r="BM88" i="8"/>
  <c r="BN9" i="8" a="1"/>
  <c r="BN9" i="8" s="1"/>
  <c r="BM9" i="8"/>
  <c r="BN29" i="8" a="1"/>
  <c r="BN29" i="8" s="1"/>
  <c r="BM29" i="8"/>
  <c r="BN49" i="8" a="1"/>
  <c r="BN49" i="8" s="1"/>
  <c r="BM49" i="8"/>
  <c r="BN69" i="8" a="1"/>
  <c r="BN69" i="8" s="1"/>
  <c r="BM69" i="8"/>
  <c r="BN89" i="8" a="1"/>
  <c r="BN89" i="8" s="1"/>
  <c r="BM89" i="8"/>
  <c r="BN10" i="8" a="1"/>
  <c r="BN10" i="8" s="1"/>
  <c r="BM10" i="8"/>
  <c r="BN30" i="8" a="1"/>
  <c r="BN30" i="8" s="1"/>
  <c r="BM30" i="8"/>
  <c r="BN50" i="8" a="1"/>
  <c r="BN50" i="8" s="1"/>
  <c r="BM50" i="8"/>
  <c r="BN70" i="8" a="1"/>
  <c r="BN70" i="8" s="1"/>
  <c r="BM70" i="8"/>
  <c r="BN90" i="8" a="1"/>
  <c r="BN90" i="8" s="1"/>
  <c r="BM90" i="8"/>
  <c r="BN11" i="8" a="1"/>
  <c r="BN11" i="8" s="1"/>
  <c r="BM11" i="8"/>
  <c r="BN31" i="8" a="1"/>
  <c r="BN31" i="8" s="1"/>
  <c r="BM31" i="8"/>
  <c r="BN51" i="8" a="1"/>
  <c r="BN51" i="8" s="1"/>
  <c r="BM51" i="8"/>
  <c r="BN71" i="8" a="1"/>
  <c r="BN71" i="8" s="1"/>
  <c r="BM71" i="8"/>
  <c r="BN91" i="8" a="1"/>
  <c r="BN91" i="8" s="1"/>
  <c r="BM91" i="8"/>
  <c r="BN6" i="8" a="1"/>
  <c r="BN6" i="8" s="1"/>
  <c r="BM6" i="8"/>
  <c r="BN12" i="8" a="1"/>
  <c r="BN12" i="8" s="1"/>
  <c r="BM12" i="8"/>
  <c r="BN32" i="8" a="1"/>
  <c r="BN32" i="8" s="1"/>
  <c r="BM32" i="8"/>
  <c r="BN52" i="8" a="1"/>
  <c r="BN52" i="8" s="1"/>
  <c r="BM52" i="8"/>
  <c r="BN72" i="8" a="1"/>
  <c r="BN72" i="8" s="1"/>
  <c r="BM72" i="8"/>
  <c r="BN92" i="8" a="1"/>
  <c r="BN92" i="8" s="1"/>
  <c r="BM92" i="8"/>
  <c r="BN13" i="8" a="1"/>
  <c r="BN13" i="8" s="1"/>
  <c r="BM13" i="8"/>
  <c r="BN33" i="8" a="1"/>
  <c r="BN33" i="8" s="1"/>
  <c r="BM33" i="8"/>
  <c r="BN53" i="8" a="1"/>
  <c r="BN53" i="8" s="1"/>
  <c r="BM53" i="8"/>
  <c r="BN73" i="8" a="1"/>
  <c r="BN73" i="8" s="1"/>
  <c r="BM73" i="8"/>
  <c r="BN93" i="8" a="1"/>
  <c r="BN93" i="8" s="1"/>
  <c r="BM93" i="8"/>
  <c r="BM14" i="8"/>
  <c r="BN14" i="8" a="1"/>
  <c r="BN14" i="8" s="1"/>
  <c r="BM34" i="8"/>
  <c r="BN34" i="8" a="1"/>
  <c r="BN34" i="8" s="1"/>
  <c r="BM54" i="8"/>
  <c r="BN54" i="8" a="1"/>
  <c r="BN54" i="8" s="1"/>
  <c r="BM74" i="8"/>
  <c r="BN74" i="8" a="1"/>
  <c r="BN74" i="8" s="1"/>
  <c r="BM94" i="8"/>
  <c r="BN94" i="8" a="1"/>
  <c r="BN94" i="8" s="1"/>
  <c r="BN15" i="8" a="1"/>
  <c r="BN15" i="8" s="1"/>
  <c r="BM15" i="8"/>
  <c r="BN35" i="8" a="1"/>
  <c r="BN35" i="8" s="1"/>
  <c r="BM35" i="8"/>
  <c r="BN55" i="8" a="1"/>
  <c r="BN55" i="8" s="1"/>
  <c r="BM55" i="8"/>
  <c r="BN75" i="8" a="1"/>
  <c r="BN75" i="8" s="1"/>
  <c r="BM75" i="8"/>
  <c r="BN95" i="8" a="1"/>
  <c r="BN95" i="8" s="1"/>
  <c r="BM95" i="8"/>
  <c r="BN16" i="8" a="1"/>
  <c r="BN16" i="8" s="1"/>
  <c r="BM16" i="8"/>
  <c r="BN36" i="8" a="1"/>
  <c r="BN36" i="8" s="1"/>
  <c r="BM36" i="8"/>
  <c r="BN56" i="8" a="1"/>
  <c r="BN56" i="8" s="1"/>
  <c r="BM56" i="8"/>
  <c r="BN76" i="8" a="1"/>
  <c r="BN76" i="8" s="1"/>
  <c r="BM76" i="8"/>
  <c r="BN96" i="8" a="1"/>
  <c r="BN96" i="8" s="1"/>
  <c r="BM96" i="8"/>
  <c r="BM17" i="8"/>
  <c r="BN17" i="8" a="1"/>
  <c r="BN17" i="8" s="1"/>
  <c r="BM37" i="8"/>
  <c r="BN37" i="8" a="1"/>
  <c r="BN37" i="8" s="1"/>
  <c r="BM57" i="8"/>
  <c r="BN57" i="8" a="1"/>
  <c r="BN57" i="8" s="1"/>
  <c r="BM77" i="8"/>
  <c r="BN77" i="8" a="1"/>
  <c r="BN77" i="8" s="1"/>
  <c r="BM97" i="8"/>
  <c r="BN97" i="8" a="1"/>
  <c r="BN97" i="8" s="1"/>
  <c r="BN46" i="8" a="1"/>
  <c r="BN46" i="8" s="1"/>
  <c r="BM46" i="8"/>
  <c r="BN18" i="8" a="1"/>
  <c r="BN18" i="8" s="1"/>
  <c r="BM18" i="8"/>
  <c r="BN38" i="8" a="1"/>
  <c r="BN38" i="8" s="1"/>
  <c r="BM38" i="8"/>
  <c r="BN58" i="8" a="1"/>
  <c r="BN58" i="8" s="1"/>
  <c r="BM58" i="8"/>
  <c r="BN78" i="8" a="1"/>
  <c r="BN78" i="8" s="1"/>
  <c r="BM78" i="8"/>
  <c r="BN98" i="8" a="1"/>
  <c r="BN98" i="8" s="1"/>
  <c r="BM98" i="8"/>
  <c r="BN86" i="8" a="1"/>
  <c r="BN86" i="8" s="1"/>
  <c r="BM86" i="8"/>
  <c r="BN19" i="8" a="1"/>
  <c r="BN19" i="8" s="1"/>
  <c r="BM19" i="8"/>
  <c r="BN39" i="8" a="1"/>
  <c r="BN39" i="8" s="1"/>
  <c r="BM39" i="8"/>
  <c r="BN59" i="8" a="1"/>
  <c r="BN59" i="8" s="1"/>
  <c r="BM59" i="8"/>
  <c r="BN79" i="8" a="1"/>
  <c r="BN79" i="8" s="1"/>
  <c r="BM79" i="8"/>
  <c r="BN99" i="8" a="1"/>
  <c r="BN99" i="8" s="1"/>
  <c r="BM99" i="8"/>
  <c r="BN26" i="8" a="1"/>
  <c r="BN26" i="8" s="1"/>
  <c r="BM26" i="8"/>
  <c r="BN20" i="8" a="1"/>
  <c r="BN20" i="8" s="1"/>
  <c r="BM20" i="8"/>
  <c r="BN40" i="8" a="1"/>
  <c r="BN40" i="8" s="1"/>
  <c r="BM40" i="8"/>
  <c r="BN60" i="8" a="1"/>
  <c r="BN60" i="8" s="1"/>
  <c r="BM60" i="8"/>
  <c r="BN80" i="8" a="1"/>
  <c r="BN80" i="8" s="1"/>
  <c r="BM80" i="8"/>
  <c r="BN100" i="8" a="1"/>
  <c r="BN100" i="8" s="1"/>
  <c r="BM100" i="8"/>
  <c r="BI21" i="8" a="1"/>
  <c r="BI21" i="8" s="1"/>
  <c r="BH21" i="8"/>
  <c r="BI41" i="8" a="1"/>
  <c r="BI41" i="8" s="1"/>
  <c r="BH41" i="8"/>
  <c r="BI61" i="8" a="1"/>
  <c r="BI61" i="8" s="1"/>
  <c r="BH61" i="8"/>
  <c r="BI81" i="8" a="1"/>
  <c r="BI81" i="8" s="1"/>
  <c r="BH81" i="8"/>
  <c r="BI22" i="8" a="1"/>
  <c r="BI22" i="8" s="1"/>
  <c r="BH22" i="8"/>
  <c r="BI42" i="8" a="1"/>
  <c r="BI42" i="8" s="1"/>
  <c r="BH42" i="8"/>
  <c r="BI62" i="8" a="1"/>
  <c r="BI62" i="8" s="1"/>
  <c r="BH62" i="8"/>
  <c r="BI82" i="8" a="1"/>
  <c r="BI82" i="8" s="1"/>
  <c r="BH82" i="8"/>
  <c r="BH4" i="8"/>
  <c r="BI4" i="8" a="1"/>
  <c r="BI4" i="8" s="1"/>
  <c r="BH24" i="8"/>
  <c r="BI24" i="8" a="1"/>
  <c r="BI24" i="8" s="1"/>
  <c r="BH44" i="8"/>
  <c r="BI44" i="8" a="1"/>
  <c r="BI44" i="8" s="1"/>
  <c r="BH64" i="8"/>
  <c r="BI64" i="8" a="1"/>
  <c r="BI64" i="8" s="1"/>
  <c r="BH84" i="8"/>
  <c r="BI84" i="8" a="1"/>
  <c r="BI84" i="8" s="1"/>
  <c r="BI5" i="8" a="1"/>
  <c r="BI5" i="8" s="1"/>
  <c r="BH5" i="8"/>
  <c r="BI25" i="8" a="1"/>
  <c r="BI25" i="8" s="1"/>
  <c r="BH25" i="8"/>
  <c r="BI45" i="8" a="1"/>
  <c r="BI45" i="8" s="1"/>
  <c r="BH45" i="8"/>
  <c r="BI65" i="8" a="1"/>
  <c r="BI65" i="8" s="1"/>
  <c r="BH65" i="8"/>
  <c r="BI85" i="8" a="1"/>
  <c r="BI85" i="8" s="1"/>
  <c r="BH85" i="8"/>
  <c r="BI63" i="8" a="1"/>
  <c r="BI63" i="8" s="1"/>
  <c r="BH63" i="8"/>
  <c r="BI86" i="8" a="1"/>
  <c r="BI86" i="8" s="1"/>
  <c r="BH86" i="8"/>
  <c r="BI8" i="8" a="1"/>
  <c r="BI8" i="8" s="1"/>
  <c r="BH8" i="8"/>
  <c r="BI28" i="8" a="1"/>
  <c r="BI28" i="8" s="1"/>
  <c r="BH28" i="8"/>
  <c r="BI48" i="8" a="1"/>
  <c r="BI48" i="8" s="1"/>
  <c r="BH48" i="8"/>
  <c r="BI68" i="8" a="1"/>
  <c r="BI68" i="8" s="1"/>
  <c r="BH68" i="8"/>
  <c r="BI88" i="8" a="1"/>
  <c r="BI88" i="8" s="1"/>
  <c r="BH88" i="8"/>
  <c r="BI83" i="8" a="1"/>
  <c r="BI83" i="8" s="1"/>
  <c r="BH83" i="8"/>
  <c r="BI66" i="8" a="1"/>
  <c r="BI66" i="8" s="1"/>
  <c r="BH66" i="8"/>
  <c r="BI9" i="8" a="1"/>
  <c r="BI9" i="8" s="1"/>
  <c r="BH9" i="8"/>
  <c r="BI29" i="8" a="1"/>
  <c r="BI29" i="8" s="1"/>
  <c r="BH29" i="8"/>
  <c r="BI49" i="8" a="1"/>
  <c r="BI49" i="8" s="1"/>
  <c r="BH49" i="8"/>
  <c r="BI69" i="8" a="1"/>
  <c r="BI69" i="8" s="1"/>
  <c r="BH69" i="8"/>
  <c r="BI89" i="8" a="1"/>
  <c r="BI89" i="8" s="1"/>
  <c r="BH89" i="8"/>
  <c r="BI10" i="8" a="1"/>
  <c r="BI10" i="8" s="1"/>
  <c r="BH10" i="8"/>
  <c r="BI30" i="8" a="1"/>
  <c r="BI30" i="8" s="1"/>
  <c r="BH30" i="8"/>
  <c r="BI50" i="8" a="1"/>
  <c r="BI50" i="8" s="1"/>
  <c r="BH50" i="8"/>
  <c r="BI70" i="8" a="1"/>
  <c r="BI70" i="8" s="1"/>
  <c r="BH70" i="8"/>
  <c r="BI90" i="8" a="1"/>
  <c r="BI90" i="8" s="1"/>
  <c r="BH90" i="8"/>
  <c r="BI11" i="8" a="1"/>
  <c r="BI11" i="8" s="1"/>
  <c r="BH11" i="8"/>
  <c r="BI31" i="8" a="1"/>
  <c r="BI31" i="8" s="1"/>
  <c r="BH31" i="8"/>
  <c r="BI51" i="8" a="1"/>
  <c r="BI51" i="8" s="1"/>
  <c r="BH51" i="8"/>
  <c r="BI71" i="8" a="1"/>
  <c r="BI71" i="8" s="1"/>
  <c r="BH71" i="8"/>
  <c r="BI91" i="8" a="1"/>
  <c r="BI91" i="8" s="1"/>
  <c r="BH91" i="8"/>
  <c r="BI43" i="8" a="1"/>
  <c r="BI43" i="8" s="1"/>
  <c r="BH43" i="8"/>
  <c r="BI6" i="8" a="1"/>
  <c r="BI6" i="8" s="1"/>
  <c r="BH6" i="8"/>
  <c r="BH27" i="8"/>
  <c r="BI27" i="8" a="1"/>
  <c r="BI27" i="8" s="1"/>
  <c r="BI12" i="8" a="1"/>
  <c r="BI12" i="8" s="1"/>
  <c r="BH12" i="8"/>
  <c r="BI32" i="8" a="1"/>
  <c r="BI32" i="8" s="1"/>
  <c r="BH32" i="8"/>
  <c r="BI52" i="8" a="1"/>
  <c r="BI52" i="8" s="1"/>
  <c r="BH52" i="8"/>
  <c r="BI72" i="8" a="1"/>
  <c r="BI72" i="8" s="1"/>
  <c r="BH72" i="8"/>
  <c r="BI92" i="8" a="1"/>
  <c r="BI92" i="8" s="1"/>
  <c r="BH92" i="8"/>
  <c r="BI23" i="8" a="1"/>
  <c r="BI23" i="8" s="1"/>
  <c r="BH23" i="8"/>
  <c r="BI13" i="8" a="1"/>
  <c r="BI13" i="8" s="1"/>
  <c r="BH13" i="8"/>
  <c r="BI33" i="8" a="1"/>
  <c r="BI33" i="8" s="1"/>
  <c r="BH33" i="8"/>
  <c r="BI53" i="8" a="1"/>
  <c r="BI53" i="8" s="1"/>
  <c r="BH53" i="8"/>
  <c r="BI73" i="8" a="1"/>
  <c r="BI73" i="8" s="1"/>
  <c r="BH73" i="8"/>
  <c r="BI93" i="8" a="1"/>
  <c r="BI93" i="8" s="1"/>
  <c r="BH93" i="8"/>
  <c r="BI26" i="8" a="1"/>
  <c r="BI26" i="8" s="1"/>
  <c r="BH26" i="8"/>
  <c r="BH14" i="8"/>
  <c r="BI14" i="8" a="1"/>
  <c r="BI14" i="8" s="1"/>
  <c r="BH34" i="8"/>
  <c r="BI34" i="8" a="1"/>
  <c r="BI34" i="8" s="1"/>
  <c r="BH54" i="8"/>
  <c r="BI54" i="8" a="1"/>
  <c r="BI54" i="8" s="1"/>
  <c r="BH74" i="8"/>
  <c r="BI74" i="8" a="1"/>
  <c r="BI74" i="8" s="1"/>
  <c r="BH94" i="8"/>
  <c r="BI94" i="8" a="1"/>
  <c r="BI94" i="8" s="1"/>
  <c r="BI15" i="8" a="1"/>
  <c r="BI15" i="8" s="1"/>
  <c r="BH15" i="8"/>
  <c r="BI35" i="8" a="1"/>
  <c r="BI35" i="8" s="1"/>
  <c r="BH35" i="8"/>
  <c r="BI55" i="8" a="1"/>
  <c r="BI55" i="8" s="1"/>
  <c r="BH55" i="8"/>
  <c r="BI75" i="8" a="1"/>
  <c r="BI75" i="8" s="1"/>
  <c r="BH75" i="8"/>
  <c r="BI95" i="8" a="1"/>
  <c r="BI95" i="8" s="1"/>
  <c r="BH95" i="8"/>
  <c r="BI16" i="8" a="1"/>
  <c r="BI16" i="8" s="1"/>
  <c r="BH16" i="8"/>
  <c r="BI36" i="8" a="1"/>
  <c r="BI36" i="8" s="1"/>
  <c r="BH36" i="8"/>
  <c r="BI56" i="8" a="1"/>
  <c r="BI56" i="8" s="1"/>
  <c r="BH56" i="8"/>
  <c r="BI76" i="8" a="1"/>
  <c r="BI76" i="8" s="1"/>
  <c r="BH76" i="8"/>
  <c r="BI96" i="8" a="1"/>
  <c r="BI96" i="8" s="1"/>
  <c r="BH96" i="8"/>
  <c r="BH67" i="8"/>
  <c r="BI67" i="8" a="1"/>
  <c r="BI67" i="8" s="1"/>
  <c r="BH17" i="8"/>
  <c r="BI17" i="8" a="1"/>
  <c r="BI17" i="8" s="1"/>
  <c r="BH37" i="8"/>
  <c r="BI37" i="8" a="1"/>
  <c r="BI37" i="8" s="1"/>
  <c r="BH57" i="8"/>
  <c r="BI57" i="8" a="1"/>
  <c r="BI57" i="8" s="1"/>
  <c r="BH77" i="8"/>
  <c r="BI77" i="8" a="1"/>
  <c r="BI77" i="8" s="1"/>
  <c r="BH97" i="8"/>
  <c r="BI97" i="8" a="1"/>
  <c r="BI97" i="8" s="1"/>
  <c r="BH87" i="8"/>
  <c r="BI87" i="8" a="1"/>
  <c r="BI87" i="8" s="1"/>
  <c r="BI18" i="8" a="1"/>
  <c r="BI18" i="8" s="1"/>
  <c r="BH18" i="8"/>
  <c r="BI38" i="8" a="1"/>
  <c r="BI38" i="8" s="1"/>
  <c r="BH38" i="8"/>
  <c r="BI58" i="8" a="1"/>
  <c r="BI58" i="8" s="1"/>
  <c r="BH58" i="8"/>
  <c r="BI78" i="8" a="1"/>
  <c r="BI78" i="8" s="1"/>
  <c r="BH78" i="8"/>
  <c r="BI98" i="8" a="1"/>
  <c r="BI98" i="8" s="1"/>
  <c r="BH98" i="8"/>
  <c r="BI46" i="8" a="1"/>
  <c r="BI46" i="8" s="1"/>
  <c r="BH46" i="8"/>
  <c r="BH47" i="8"/>
  <c r="BI47" i="8" a="1"/>
  <c r="BI47" i="8" s="1"/>
  <c r="BI19" i="8" a="1"/>
  <c r="BI19" i="8" s="1"/>
  <c r="BH19" i="8"/>
  <c r="BI39" i="8" a="1"/>
  <c r="BI39" i="8" s="1"/>
  <c r="BH39" i="8"/>
  <c r="BI59" i="8" a="1"/>
  <c r="BI59" i="8" s="1"/>
  <c r="BH59" i="8"/>
  <c r="BI79" i="8" a="1"/>
  <c r="BI79" i="8" s="1"/>
  <c r="BH79" i="8"/>
  <c r="BI99" i="8" a="1"/>
  <c r="BI99" i="8" s="1"/>
  <c r="BH99" i="8"/>
  <c r="BH7" i="8"/>
  <c r="BI7" i="8" a="1"/>
  <c r="BI7" i="8" s="1"/>
  <c r="BI20" i="8" a="1"/>
  <c r="BI20" i="8" s="1"/>
  <c r="BH20" i="8"/>
  <c r="BI40" i="8" a="1"/>
  <c r="BI40" i="8" s="1"/>
  <c r="BH40" i="8"/>
  <c r="BI60" i="8" a="1"/>
  <c r="BI60" i="8" s="1"/>
  <c r="BH60" i="8"/>
  <c r="BI80" i="8" a="1"/>
  <c r="BI80" i="8" s="1"/>
  <c r="BH80" i="8"/>
  <c r="BI100" i="8" a="1"/>
  <c r="BI100" i="8" s="1"/>
  <c r="BH100" i="8"/>
  <c r="BD23" i="8" a="1"/>
  <c r="BD23" i="8" s="1"/>
  <c r="BC23" i="8"/>
  <c r="BD43" i="8" a="1"/>
  <c r="BD43" i="8" s="1"/>
  <c r="BC43" i="8"/>
  <c r="BD63" i="8" a="1"/>
  <c r="BD63" i="8" s="1"/>
  <c r="BC63" i="8"/>
  <c r="BD83" i="8" a="1"/>
  <c r="BD83" i="8" s="1"/>
  <c r="BC83" i="8"/>
  <c r="BD62" i="8" a="1"/>
  <c r="BD62" i="8" s="1"/>
  <c r="BC62" i="8"/>
  <c r="BD5" i="8" a="1"/>
  <c r="BD5" i="8" s="1"/>
  <c r="BC5" i="8"/>
  <c r="BD25" i="8" a="1"/>
  <c r="BD25" i="8" s="1"/>
  <c r="BC25" i="8"/>
  <c r="BD45" i="8" a="1"/>
  <c r="BD45" i="8" s="1"/>
  <c r="BC45" i="8"/>
  <c r="BD65" i="8" a="1"/>
  <c r="BD65" i="8" s="1"/>
  <c r="BC65" i="8"/>
  <c r="BD85" i="8" a="1"/>
  <c r="BD85" i="8" s="1"/>
  <c r="BC85" i="8"/>
  <c r="BD61" i="8" a="1"/>
  <c r="BD61" i="8" s="1"/>
  <c r="BC61" i="8"/>
  <c r="BD6" i="8" a="1"/>
  <c r="BD6" i="8" s="1"/>
  <c r="BC6" i="8"/>
  <c r="BD26" i="8" a="1"/>
  <c r="BD26" i="8" s="1"/>
  <c r="BC26" i="8"/>
  <c r="BD46" i="8" a="1"/>
  <c r="BD46" i="8" s="1"/>
  <c r="BC46" i="8"/>
  <c r="BD66" i="8" a="1"/>
  <c r="BD66" i="8" s="1"/>
  <c r="BC66" i="8"/>
  <c r="BD86" i="8" a="1"/>
  <c r="BD86" i="8" s="1"/>
  <c r="BC86" i="8"/>
  <c r="BD21" i="8" a="1"/>
  <c r="BD21" i="8" s="1"/>
  <c r="BC21" i="8"/>
  <c r="BC84" i="8"/>
  <c r="BD84" i="8" a="1"/>
  <c r="BD84" i="8" s="1"/>
  <c r="BD8" i="8" a="1"/>
  <c r="BD8" i="8" s="1"/>
  <c r="BC8" i="8"/>
  <c r="BD28" i="8" a="1"/>
  <c r="BD28" i="8" s="1"/>
  <c r="BC28" i="8"/>
  <c r="BD48" i="8" a="1"/>
  <c r="BD48" i="8" s="1"/>
  <c r="BC48" i="8"/>
  <c r="BD68" i="8" a="1"/>
  <c r="BD68" i="8" s="1"/>
  <c r="BC68" i="8"/>
  <c r="BD88" i="8" a="1"/>
  <c r="BD88" i="8" s="1"/>
  <c r="BC88" i="8"/>
  <c r="BD22" i="8" a="1"/>
  <c r="BD22" i="8" s="1"/>
  <c r="BC22" i="8"/>
  <c r="BD9" i="8" a="1"/>
  <c r="BD9" i="8" s="1"/>
  <c r="BC9" i="8"/>
  <c r="BD29" i="8" a="1"/>
  <c r="BD29" i="8" s="1"/>
  <c r="BC29" i="8"/>
  <c r="BD49" i="8" a="1"/>
  <c r="BD49" i="8" s="1"/>
  <c r="BC49" i="8"/>
  <c r="BD69" i="8" a="1"/>
  <c r="BD69" i="8" s="1"/>
  <c r="BC69" i="8"/>
  <c r="BD89" i="8" a="1"/>
  <c r="BD89" i="8" s="1"/>
  <c r="BC89" i="8"/>
  <c r="BC44" i="8"/>
  <c r="BD44" i="8" a="1"/>
  <c r="BD44" i="8" s="1"/>
  <c r="BC27" i="8"/>
  <c r="BD27" i="8" a="1"/>
  <c r="BD27" i="8" s="1"/>
  <c r="BD10" i="8" a="1"/>
  <c r="BD10" i="8" s="1"/>
  <c r="BC10" i="8"/>
  <c r="BD30" i="8" a="1"/>
  <c r="BD30" i="8" s="1"/>
  <c r="BC30" i="8"/>
  <c r="BD50" i="8" a="1"/>
  <c r="BD50" i="8" s="1"/>
  <c r="BC50" i="8"/>
  <c r="BD70" i="8" a="1"/>
  <c r="BD70" i="8" s="1"/>
  <c r="BC70" i="8"/>
  <c r="BD90" i="8" a="1"/>
  <c r="BD90" i="8" s="1"/>
  <c r="BC90" i="8"/>
  <c r="BD11" i="8" a="1"/>
  <c r="BD11" i="8" s="1"/>
  <c r="BC11" i="8"/>
  <c r="BD31" i="8" a="1"/>
  <c r="BD31" i="8" s="1"/>
  <c r="BC31" i="8"/>
  <c r="BD51" i="8" a="1"/>
  <c r="BD51" i="8" s="1"/>
  <c r="BC51" i="8"/>
  <c r="BD71" i="8" a="1"/>
  <c r="BD71" i="8" s="1"/>
  <c r="BC71" i="8"/>
  <c r="BD91" i="8" a="1"/>
  <c r="BD91" i="8" s="1"/>
  <c r="BC91" i="8"/>
  <c r="BD81" i="8" a="1"/>
  <c r="BD81" i="8" s="1"/>
  <c r="BC81" i="8"/>
  <c r="BC4" i="8"/>
  <c r="BD4" i="8" a="1"/>
  <c r="BD4" i="8" s="1"/>
  <c r="BD12" i="8" a="1"/>
  <c r="BD12" i="8" s="1"/>
  <c r="BC12" i="8"/>
  <c r="BD32" i="8" a="1"/>
  <c r="BD32" i="8" s="1"/>
  <c r="BC32" i="8"/>
  <c r="BD52" i="8" a="1"/>
  <c r="BD52" i="8" s="1"/>
  <c r="BC52" i="8"/>
  <c r="BD72" i="8" a="1"/>
  <c r="BD72" i="8" s="1"/>
  <c r="BC72" i="8"/>
  <c r="BD92" i="8" a="1"/>
  <c r="BD92" i="8" s="1"/>
  <c r="BC92" i="8"/>
  <c r="BC7" i="8"/>
  <c r="BD7" i="8" a="1"/>
  <c r="BD7" i="8" s="1"/>
  <c r="BD13" i="8" a="1"/>
  <c r="BD13" i="8" s="1"/>
  <c r="BC13" i="8"/>
  <c r="BD33" i="8" a="1"/>
  <c r="BD33" i="8" s="1"/>
  <c r="BC33" i="8"/>
  <c r="BD53" i="8" a="1"/>
  <c r="BD53" i="8" s="1"/>
  <c r="BC53" i="8"/>
  <c r="BD73" i="8" a="1"/>
  <c r="BD73" i="8" s="1"/>
  <c r="BC73" i="8"/>
  <c r="BD93" i="8" a="1"/>
  <c r="BD93" i="8" s="1"/>
  <c r="BC93" i="8"/>
  <c r="BC34" i="8"/>
  <c r="BD34" i="8" a="1"/>
  <c r="BD34" i="8" s="1"/>
  <c r="BC54" i="8"/>
  <c r="BD54" i="8" a="1"/>
  <c r="BD54" i="8" s="1"/>
  <c r="BC74" i="8"/>
  <c r="BD74" i="8" a="1"/>
  <c r="BD74" i="8" s="1"/>
  <c r="BC94" i="8"/>
  <c r="BD94" i="8" a="1"/>
  <c r="BD94" i="8" s="1"/>
  <c r="BD42" i="8" a="1"/>
  <c r="BD42" i="8" s="1"/>
  <c r="BC42" i="8"/>
  <c r="BC47" i="8"/>
  <c r="BD47" i="8" a="1"/>
  <c r="BD47" i="8" s="1"/>
  <c r="BC14" i="8"/>
  <c r="BD14" i="8" a="1"/>
  <c r="BD14" i="8" s="1"/>
  <c r="BD55" i="8" a="1"/>
  <c r="BD55" i="8" s="1"/>
  <c r="BC55" i="8"/>
  <c r="BD16" i="8" a="1"/>
  <c r="BD16" i="8" s="1"/>
  <c r="BC16" i="8"/>
  <c r="BD36" i="8" a="1"/>
  <c r="BD36" i="8" s="1"/>
  <c r="BC36" i="8"/>
  <c r="BD56" i="8" a="1"/>
  <c r="BD56" i="8" s="1"/>
  <c r="BC56" i="8"/>
  <c r="BD76" i="8" a="1"/>
  <c r="BD76" i="8" s="1"/>
  <c r="BC76" i="8"/>
  <c r="BD96" i="8" a="1"/>
  <c r="BD96" i="8" s="1"/>
  <c r="BC96" i="8"/>
  <c r="BD82" i="8" a="1"/>
  <c r="BD82" i="8" s="1"/>
  <c r="BC82" i="8"/>
  <c r="BC64" i="8"/>
  <c r="BD64" i="8" a="1"/>
  <c r="BD64" i="8" s="1"/>
  <c r="BC67" i="8"/>
  <c r="BD67" i="8" a="1"/>
  <c r="BD67" i="8" s="1"/>
  <c r="BD35" i="8" a="1"/>
  <c r="BD35" i="8" s="1"/>
  <c r="BC35" i="8"/>
  <c r="BC17" i="8"/>
  <c r="BD17" i="8" a="1"/>
  <c r="BD17" i="8" s="1"/>
  <c r="BC37" i="8"/>
  <c r="BD37" i="8" a="1"/>
  <c r="BD37" i="8" s="1"/>
  <c r="BC57" i="8"/>
  <c r="BD57" i="8" a="1"/>
  <c r="BD57" i="8" s="1"/>
  <c r="BC77" i="8"/>
  <c r="BD77" i="8" a="1"/>
  <c r="BD77" i="8" s="1"/>
  <c r="BC97" i="8"/>
  <c r="BD97" i="8" a="1"/>
  <c r="BD97" i="8" s="1"/>
  <c r="BD18" i="8" a="1"/>
  <c r="BD18" i="8" s="1"/>
  <c r="BC18" i="8"/>
  <c r="BD38" i="8" a="1"/>
  <c r="BD38" i="8" s="1"/>
  <c r="BC38" i="8"/>
  <c r="BD58" i="8" a="1"/>
  <c r="BD58" i="8" s="1"/>
  <c r="BC58" i="8"/>
  <c r="BD78" i="8" a="1"/>
  <c r="BD78" i="8" s="1"/>
  <c r="BC78" i="8"/>
  <c r="BD98" i="8" a="1"/>
  <c r="BD98" i="8" s="1"/>
  <c r="BC98" i="8"/>
  <c r="BD41" i="8" a="1"/>
  <c r="BD41" i="8" s="1"/>
  <c r="BC41" i="8"/>
  <c r="BD15" i="8" a="1"/>
  <c r="BD15" i="8" s="1"/>
  <c r="BC15" i="8"/>
  <c r="BD75" i="8" a="1"/>
  <c r="BD75" i="8" s="1"/>
  <c r="BC75" i="8"/>
  <c r="BD19" i="8" a="1"/>
  <c r="BD19" i="8" s="1"/>
  <c r="BC19" i="8"/>
  <c r="BD39" i="8" a="1"/>
  <c r="BD39" i="8" s="1"/>
  <c r="BC39" i="8"/>
  <c r="BD59" i="8" a="1"/>
  <c r="BD59" i="8" s="1"/>
  <c r="BC59" i="8"/>
  <c r="BD79" i="8" a="1"/>
  <c r="BD79" i="8" s="1"/>
  <c r="BC79" i="8"/>
  <c r="BD99" i="8" a="1"/>
  <c r="BD99" i="8" s="1"/>
  <c r="BC99" i="8"/>
  <c r="BC24" i="8"/>
  <c r="BD24" i="8" a="1"/>
  <c r="BD24" i="8" s="1"/>
  <c r="BC87" i="8"/>
  <c r="BD87" i="8" a="1"/>
  <c r="BD87" i="8" s="1"/>
  <c r="BD95" i="8" a="1"/>
  <c r="BD95" i="8" s="1"/>
  <c r="BC95" i="8"/>
  <c r="BD20" i="8" a="1"/>
  <c r="BD20" i="8" s="1"/>
  <c r="BC20" i="8"/>
  <c r="BD40" i="8" a="1"/>
  <c r="BD40" i="8" s="1"/>
  <c r="BC40" i="8"/>
  <c r="BD60" i="8" a="1"/>
  <c r="BD60" i="8" s="1"/>
  <c r="BC60" i="8"/>
  <c r="BD80" i="8" a="1"/>
  <c r="BD80" i="8" s="1"/>
  <c r="BC80" i="8"/>
  <c r="BD100" i="8" a="1"/>
  <c r="BD100" i="8" s="1"/>
  <c r="BC100" i="8"/>
  <c r="AY22" i="8" a="1"/>
  <c r="AY22" i="8" s="1"/>
  <c r="AX22" i="8"/>
  <c r="AY42" i="8" a="1"/>
  <c r="AY42" i="8" s="1"/>
  <c r="AX42" i="8"/>
  <c r="AY62" i="8" a="1"/>
  <c r="AY62" i="8" s="1"/>
  <c r="AX62" i="8"/>
  <c r="AY82" i="8" a="1"/>
  <c r="AY82" i="8" s="1"/>
  <c r="AX82" i="8"/>
  <c r="AY81" i="8" a="1"/>
  <c r="AY81" i="8" s="1"/>
  <c r="AX81" i="8"/>
  <c r="AY83" i="8" a="1"/>
  <c r="AY83" i="8" s="1"/>
  <c r="AX83" i="8"/>
  <c r="AY85" i="8" a="1"/>
  <c r="AY85" i="8" s="1"/>
  <c r="AX85" i="8"/>
  <c r="AX24" i="8"/>
  <c r="AY24" i="8" a="1"/>
  <c r="AY24" i="8" s="1"/>
  <c r="AY86" i="8" a="1"/>
  <c r="AY86" i="8" s="1"/>
  <c r="AX86" i="8"/>
  <c r="AY63" i="8" a="1"/>
  <c r="AY63" i="8" s="1"/>
  <c r="AX63" i="8"/>
  <c r="AY25" i="8" a="1"/>
  <c r="AY25" i="8" s="1"/>
  <c r="AX25" i="8"/>
  <c r="AX7" i="8"/>
  <c r="AY7" i="8" a="1"/>
  <c r="AY7" i="8" s="1"/>
  <c r="AX27" i="8"/>
  <c r="AY27" i="8" a="1"/>
  <c r="AY27" i="8" s="1"/>
  <c r="AX47" i="8"/>
  <c r="AY47" i="8" a="1"/>
  <c r="AY47" i="8" s="1"/>
  <c r="AX67" i="8"/>
  <c r="AY67" i="8" a="1"/>
  <c r="AY67" i="8" s="1"/>
  <c r="AX87" i="8"/>
  <c r="AY87" i="8" a="1"/>
  <c r="AY87" i="8" s="1"/>
  <c r="AX84" i="8"/>
  <c r="AY84" i="8" a="1"/>
  <c r="AY84" i="8" s="1"/>
  <c r="AY8" i="8" a="1"/>
  <c r="AY8" i="8" s="1"/>
  <c r="AX8" i="8"/>
  <c r="AY28" i="8" a="1"/>
  <c r="AY28" i="8" s="1"/>
  <c r="AX28" i="8"/>
  <c r="AY68" i="8" a="1"/>
  <c r="AY68" i="8" s="1"/>
  <c r="AX68" i="8"/>
  <c r="AY88" i="8" a="1"/>
  <c r="AY88" i="8" s="1"/>
  <c r="AX88" i="8"/>
  <c r="AX44" i="8"/>
  <c r="AY44" i="8" a="1"/>
  <c r="AY44" i="8" s="1"/>
  <c r="AY66" i="8" a="1"/>
  <c r="AY66" i="8" s="1"/>
  <c r="AX66" i="8"/>
  <c r="AY48" i="8" a="1"/>
  <c r="AY48" i="8" s="1"/>
  <c r="AX48" i="8"/>
  <c r="AY9" i="8" a="1"/>
  <c r="AY9" i="8" s="1"/>
  <c r="AX9" i="8"/>
  <c r="AY29" i="8" a="1"/>
  <c r="AY29" i="8" s="1"/>
  <c r="AX29" i="8"/>
  <c r="AY49" i="8" a="1"/>
  <c r="AY49" i="8" s="1"/>
  <c r="AX49" i="8"/>
  <c r="AY69" i="8" a="1"/>
  <c r="AY69" i="8" s="1"/>
  <c r="AX69" i="8"/>
  <c r="AY89" i="8" a="1"/>
  <c r="AY89" i="8" s="1"/>
  <c r="AX89" i="8"/>
  <c r="AY23" i="8" a="1"/>
  <c r="AY23" i="8" s="1"/>
  <c r="AX23" i="8"/>
  <c r="AY61" i="8" a="1"/>
  <c r="AY61" i="8" s="1"/>
  <c r="AX61" i="8"/>
  <c r="AY45" i="8" a="1"/>
  <c r="AY45" i="8" s="1"/>
  <c r="AX45" i="8"/>
  <c r="AY10" i="8" a="1"/>
  <c r="AY10" i="8" s="1"/>
  <c r="AX10" i="8"/>
  <c r="AX64" i="8"/>
  <c r="AY64" i="8" a="1"/>
  <c r="AY64" i="8" s="1"/>
  <c r="AY46" i="8" a="1"/>
  <c r="AY46" i="8" s="1"/>
  <c r="AX46" i="8"/>
  <c r="AY30" i="8" a="1"/>
  <c r="AY30" i="8" s="1"/>
  <c r="AX30" i="8"/>
  <c r="AY31" i="8" a="1"/>
  <c r="AY31" i="8" s="1"/>
  <c r="AX31" i="8"/>
  <c r="AY52" i="8" a="1"/>
  <c r="AY52" i="8" s="1"/>
  <c r="AX52" i="8"/>
  <c r="AY33" i="8" a="1"/>
  <c r="AY33" i="8" s="1"/>
  <c r="AX33" i="8"/>
  <c r="AX14" i="8"/>
  <c r="AY14" i="8" a="1"/>
  <c r="AY14" i="8" s="1"/>
  <c r="AY15" i="8" a="1"/>
  <c r="AY15" i="8" s="1"/>
  <c r="AX15" i="8"/>
  <c r="AY35" i="8" a="1"/>
  <c r="AY35" i="8" s="1"/>
  <c r="AX35" i="8"/>
  <c r="AY55" i="8" a="1"/>
  <c r="AY55" i="8" s="1"/>
  <c r="AX55" i="8"/>
  <c r="AY75" i="8" a="1"/>
  <c r="AY75" i="8" s="1"/>
  <c r="AX75" i="8"/>
  <c r="AY95" i="8" a="1"/>
  <c r="AY95" i="8" s="1"/>
  <c r="AX95" i="8"/>
  <c r="AY41" i="8" a="1"/>
  <c r="AY41" i="8" s="1"/>
  <c r="AX41" i="8"/>
  <c r="AY6" i="8" a="1"/>
  <c r="AY6" i="8" s="1"/>
  <c r="AX6" i="8"/>
  <c r="AY50" i="8" a="1"/>
  <c r="AY50" i="8" s="1"/>
  <c r="AX50" i="8"/>
  <c r="AY91" i="8" a="1"/>
  <c r="AY91" i="8" s="1"/>
  <c r="AX91" i="8"/>
  <c r="AY32" i="8" a="1"/>
  <c r="AY32" i="8" s="1"/>
  <c r="AX32" i="8"/>
  <c r="AY93" i="8" a="1"/>
  <c r="AY93" i="8" s="1"/>
  <c r="AX93" i="8"/>
  <c r="AX94" i="8"/>
  <c r="AY94" i="8" a="1"/>
  <c r="AY94" i="8" s="1"/>
  <c r="AY16" i="8" a="1"/>
  <c r="AY16" i="8" s="1"/>
  <c r="AX16" i="8"/>
  <c r="AY36" i="8" a="1"/>
  <c r="AY36" i="8" s="1"/>
  <c r="AX36" i="8"/>
  <c r="AY56" i="8" a="1"/>
  <c r="AY56" i="8" s="1"/>
  <c r="AX56" i="8"/>
  <c r="AY76" i="8" a="1"/>
  <c r="AY76" i="8" s="1"/>
  <c r="AX76" i="8"/>
  <c r="AY96" i="8" a="1"/>
  <c r="AY96" i="8" s="1"/>
  <c r="AX96" i="8"/>
  <c r="AY90" i="8" a="1"/>
  <c r="AY90" i="8" s="1"/>
  <c r="AX90" i="8"/>
  <c r="AY51" i="8" a="1"/>
  <c r="AY51" i="8" s="1"/>
  <c r="AX51" i="8"/>
  <c r="AY12" i="8" a="1"/>
  <c r="AY12" i="8" s="1"/>
  <c r="AX12" i="8"/>
  <c r="AX17" i="8"/>
  <c r="AY17" i="8" a="1"/>
  <c r="AY17" i="8" s="1"/>
  <c r="AX77" i="8"/>
  <c r="AY77" i="8" a="1"/>
  <c r="AY77" i="8" s="1"/>
  <c r="AX97" i="8"/>
  <c r="AY97" i="8" a="1"/>
  <c r="AY97" i="8" s="1"/>
  <c r="AY43" i="8" a="1"/>
  <c r="AY43" i="8" s="1"/>
  <c r="AX43" i="8"/>
  <c r="AY5" i="8" a="1"/>
  <c r="AY5" i="8" s="1"/>
  <c r="AX5" i="8"/>
  <c r="AY26" i="8" a="1"/>
  <c r="AY26" i="8" s="1"/>
  <c r="AX26" i="8"/>
  <c r="AY11" i="8" a="1"/>
  <c r="AY11" i="8" s="1"/>
  <c r="AX11" i="8"/>
  <c r="AY72" i="8" a="1"/>
  <c r="AY72" i="8" s="1"/>
  <c r="AX72" i="8"/>
  <c r="AY73" i="8" a="1"/>
  <c r="AY73" i="8" s="1"/>
  <c r="AX73" i="8"/>
  <c r="AX34" i="8"/>
  <c r="AY34" i="8" a="1"/>
  <c r="AY34" i="8" s="1"/>
  <c r="AX37" i="8"/>
  <c r="AY37" i="8" a="1"/>
  <c r="AY37" i="8" s="1"/>
  <c r="AY18" i="8" a="1"/>
  <c r="AY18" i="8" s="1"/>
  <c r="AX18" i="8"/>
  <c r="AY38" i="8" a="1"/>
  <c r="AY38" i="8" s="1"/>
  <c r="AX38" i="8"/>
  <c r="AY58" i="8" a="1"/>
  <c r="AY58" i="8" s="1"/>
  <c r="AX58" i="8"/>
  <c r="AY78" i="8" a="1"/>
  <c r="AY78" i="8" s="1"/>
  <c r="AX78" i="8"/>
  <c r="AY98" i="8" a="1"/>
  <c r="AY98" i="8" s="1"/>
  <c r="AX98" i="8"/>
  <c r="AY21" i="8" a="1"/>
  <c r="AY21" i="8" s="1"/>
  <c r="AX21" i="8"/>
  <c r="AX4" i="8"/>
  <c r="AY4" i="8" a="1"/>
  <c r="AY4" i="8" s="1"/>
  <c r="AY70" i="8" a="1"/>
  <c r="AY70" i="8" s="1"/>
  <c r="AX70" i="8"/>
  <c r="AY71" i="8" a="1"/>
  <c r="AY71" i="8" s="1"/>
  <c r="AX71" i="8"/>
  <c r="AY92" i="8" a="1"/>
  <c r="AY92" i="8" s="1"/>
  <c r="AX92" i="8"/>
  <c r="AY53" i="8" a="1"/>
  <c r="AY53" i="8" s="1"/>
  <c r="AX53" i="8"/>
  <c r="AX54" i="8"/>
  <c r="AY54" i="8" a="1"/>
  <c r="AY54" i="8" s="1"/>
  <c r="AY19" i="8" a="1"/>
  <c r="AY19" i="8" s="1"/>
  <c r="AX19" i="8"/>
  <c r="AY39" i="8" a="1"/>
  <c r="AY39" i="8" s="1"/>
  <c r="AX39" i="8"/>
  <c r="AY59" i="8" a="1"/>
  <c r="AY59" i="8" s="1"/>
  <c r="AX59" i="8"/>
  <c r="AY79" i="8" a="1"/>
  <c r="AY79" i="8" s="1"/>
  <c r="AX79" i="8"/>
  <c r="AY99" i="8" a="1"/>
  <c r="AY99" i="8" s="1"/>
  <c r="AX99" i="8"/>
  <c r="AY65" i="8" a="1"/>
  <c r="AY65" i="8" s="1"/>
  <c r="AX65" i="8"/>
  <c r="AY13" i="8" a="1"/>
  <c r="AY13" i="8" s="1"/>
  <c r="AX13" i="8"/>
  <c r="AX74" i="8"/>
  <c r="AY74" i="8" a="1"/>
  <c r="AY74" i="8" s="1"/>
  <c r="AX57" i="8"/>
  <c r="AY57" i="8" a="1"/>
  <c r="AY57" i="8" s="1"/>
  <c r="AY20" i="8" a="1"/>
  <c r="AY20" i="8" s="1"/>
  <c r="AX20" i="8"/>
  <c r="AY40" i="8" a="1"/>
  <c r="AY40" i="8" s="1"/>
  <c r="AX40" i="8"/>
  <c r="AY60" i="8" a="1"/>
  <c r="AY60" i="8" s="1"/>
  <c r="AX60" i="8"/>
  <c r="AY80" i="8" a="1"/>
  <c r="AY80" i="8" s="1"/>
  <c r="AX80" i="8"/>
  <c r="AY100" i="8" a="1"/>
  <c r="AY100" i="8" s="1"/>
  <c r="AX100" i="8"/>
  <c r="AT62" i="8" a="1"/>
  <c r="AT62" i="8" s="1"/>
  <c r="AS62" i="8"/>
  <c r="AT82" i="8" a="1"/>
  <c r="AT82" i="8" s="1"/>
  <c r="AS82" i="8"/>
  <c r="AT43" i="8" a="1"/>
  <c r="AT43" i="8" s="1"/>
  <c r="AS43" i="8"/>
  <c r="AT63" i="8" a="1"/>
  <c r="AT63" i="8" s="1"/>
  <c r="AS63" i="8"/>
  <c r="AT83" i="8" a="1"/>
  <c r="AT83" i="8" s="1"/>
  <c r="AS83" i="8"/>
  <c r="AS24" i="8"/>
  <c r="AT24" i="8" a="1"/>
  <c r="AT24" i="8" s="1"/>
  <c r="AS44" i="8"/>
  <c r="AT44" i="8" a="1"/>
  <c r="AT44" i="8" s="1"/>
  <c r="AS47" i="8"/>
  <c r="AT47" i="8" a="1"/>
  <c r="AT47" i="8" s="1"/>
  <c r="AT23" i="8" a="1"/>
  <c r="AT23" i="8" s="1"/>
  <c r="AS23" i="8"/>
  <c r="AT48" i="8" a="1"/>
  <c r="AT48" i="8" s="1"/>
  <c r="AS48" i="8"/>
  <c r="AT5" i="8" a="1"/>
  <c r="AT5" i="8" s="1"/>
  <c r="AS5" i="8"/>
  <c r="AT46" i="8" a="1"/>
  <c r="AT46" i="8" s="1"/>
  <c r="AS46" i="8"/>
  <c r="AT29" i="8" a="1"/>
  <c r="AT29" i="8" s="1"/>
  <c r="AS29" i="8"/>
  <c r="AT85" i="8" a="1"/>
  <c r="AT85" i="8" s="1"/>
  <c r="AS85" i="8"/>
  <c r="AT52" i="8" a="1"/>
  <c r="AT52" i="8" s="1"/>
  <c r="AS52" i="8"/>
  <c r="AT45" i="8" a="1"/>
  <c r="AT45" i="8" s="1"/>
  <c r="AS45" i="8"/>
  <c r="AT6" i="8" a="1"/>
  <c r="AT6" i="8" s="1"/>
  <c r="AS6" i="8"/>
  <c r="AS27" i="8"/>
  <c r="AT27" i="8" a="1"/>
  <c r="AT27" i="8" s="1"/>
  <c r="AT68" i="8" a="1"/>
  <c r="AT68" i="8" s="1"/>
  <c r="AS68" i="8"/>
  <c r="AT10" i="8" a="1"/>
  <c r="AT10" i="8" s="1"/>
  <c r="AS10" i="8"/>
  <c r="AT92" i="8" a="1"/>
  <c r="AT92" i="8" s="1"/>
  <c r="AS92" i="8"/>
  <c r="AS4" i="8"/>
  <c r="AT4" i="8" a="1"/>
  <c r="AT4" i="8" s="1"/>
  <c r="AT13" i="8" a="1"/>
  <c r="AT13" i="8" s="1"/>
  <c r="AS13" i="8"/>
  <c r="AS14" i="8"/>
  <c r="AT14" i="8" a="1"/>
  <c r="AT14" i="8" s="1"/>
  <c r="AT15" i="8" a="1"/>
  <c r="AT15" i="8" s="1"/>
  <c r="AS15" i="8"/>
  <c r="AT35" i="8" a="1"/>
  <c r="AT35" i="8" s="1"/>
  <c r="AS35" i="8"/>
  <c r="AT55" i="8" a="1"/>
  <c r="AT55" i="8" s="1"/>
  <c r="AS55" i="8"/>
  <c r="AT75" i="8" a="1"/>
  <c r="AT75" i="8" s="1"/>
  <c r="AS75" i="8"/>
  <c r="AS94" i="8"/>
  <c r="AT94" i="8" a="1"/>
  <c r="AT94" i="8" s="1"/>
  <c r="AT9" i="8" a="1"/>
  <c r="AT9" i="8" s="1"/>
  <c r="AS9" i="8"/>
  <c r="AT42" i="8" a="1"/>
  <c r="AT42" i="8" s="1"/>
  <c r="AS42" i="8"/>
  <c r="AS84" i="8"/>
  <c r="AT84" i="8" a="1"/>
  <c r="AT84" i="8" s="1"/>
  <c r="AT86" i="8" a="1"/>
  <c r="AT86" i="8" s="1"/>
  <c r="AS86" i="8"/>
  <c r="AT88" i="8" a="1"/>
  <c r="AT88" i="8" s="1"/>
  <c r="AS88" i="8"/>
  <c r="AT30" i="8" a="1"/>
  <c r="AT30" i="8" s="1"/>
  <c r="AS30" i="8"/>
  <c r="AS67" i="8"/>
  <c r="AT67" i="8" a="1"/>
  <c r="AT67" i="8" s="1"/>
  <c r="AT50" i="8" a="1"/>
  <c r="AT50" i="8" s="1"/>
  <c r="AS50" i="8"/>
  <c r="AT31" i="8" a="1"/>
  <c r="AT31" i="8" s="1"/>
  <c r="AS31" i="8"/>
  <c r="AT32" i="8" a="1"/>
  <c r="AT32" i="8" s="1"/>
  <c r="AS32" i="8"/>
  <c r="AT53" i="8" a="1"/>
  <c r="AT53" i="8" s="1"/>
  <c r="AS53" i="8"/>
  <c r="AT93" i="8" a="1"/>
  <c r="AT93" i="8" s="1"/>
  <c r="AS93" i="8"/>
  <c r="AT56" i="8" a="1"/>
  <c r="AT56" i="8" s="1"/>
  <c r="AS56" i="8"/>
  <c r="AS37" i="8"/>
  <c r="AT37" i="8" a="1"/>
  <c r="AT37" i="8" s="1"/>
  <c r="AT18" i="8" a="1"/>
  <c r="AT18" i="8" s="1"/>
  <c r="AS18" i="8"/>
  <c r="AT38" i="8" a="1"/>
  <c r="AT38" i="8" s="1"/>
  <c r="AS38" i="8"/>
  <c r="AT58" i="8" a="1"/>
  <c r="AT58" i="8" s="1"/>
  <c r="AS58" i="8"/>
  <c r="AT78" i="8" a="1"/>
  <c r="AT78" i="8" s="1"/>
  <c r="AS78" i="8"/>
  <c r="AS97" i="8"/>
  <c r="AT97" i="8" a="1"/>
  <c r="AT97" i="8" s="1"/>
  <c r="AT25" i="8" a="1"/>
  <c r="AT25" i="8" s="1"/>
  <c r="AS25" i="8"/>
  <c r="AT26" i="8" a="1"/>
  <c r="AT26" i="8" s="1"/>
  <c r="AS26" i="8"/>
  <c r="AS87" i="8"/>
  <c r="AT87" i="8" a="1"/>
  <c r="AT87" i="8" s="1"/>
  <c r="AT49" i="8" a="1"/>
  <c r="AT49" i="8" s="1"/>
  <c r="AS49" i="8"/>
  <c r="AT70" i="8" a="1"/>
  <c r="AT70" i="8" s="1"/>
  <c r="AS70" i="8"/>
  <c r="AT11" i="8" a="1"/>
  <c r="AT11" i="8" s="1"/>
  <c r="AS11" i="8"/>
  <c r="AT33" i="8" a="1"/>
  <c r="AT33" i="8" s="1"/>
  <c r="AS33" i="8"/>
  <c r="AS74" i="8"/>
  <c r="AT74" i="8" a="1"/>
  <c r="AT74" i="8" s="1"/>
  <c r="AT16" i="8" a="1"/>
  <c r="AT16" i="8" s="1"/>
  <c r="AS16" i="8"/>
  <c r="AT95" i="8" a="1"/>
  <c r="AT95" i="8" s="1"/>
  <c r="AS95" i="8"/>
  <c r="AS17" i="8"/>
  <c r="AT17" i="8" a="1"/>
  <c r="AT17" i="8" s="1"/>
  <c r="AT96" i="8" a="1"/>
  <c r="AT96" i="8" s="1"/>
  <c r="AS96" i="8"/>
  <c r="AT19" i="8" a="1"/>
  <c r="AT19" i="8" s="1"/>
  <c r="AS19" i="8"/>
  <c r="AT39" i="8" a="1"/>
  <c r="AT39" i="8" s="1"/>
  <c r="AS39" i="8"/>
  <c r="AT59" i="8" a="1"/>
  <c r="AT59" i="8" s="1"/>
  <c r="AS59" i="8"/>
  <c r="AT79" i="8" a="1"/>
  <c r="AT79" i="8" s="1"/>
  <c r="AS79" i="8"/>
  <c r="AT98" i="8" a="1"/>
  <c r="AT98" i="8" s="1"/>
  <c r="AS98" i="8"/>
  <c r="AT65" i="8" a="1"/>
  <c r="AT65" i="8" s="1"/>
  <c r="AS65" i="8"/>
  <c r="AS7" i="8"/>
  <c r="AT7" i="8" a="1"/>
  <c r="AT7" i="8" s="1"/>
  <c r="AT8" i="8" a="1"/>
  <c r="AT8" i="8" s="1"/>
  <c r="AS8" i="8"/>
  <c r="AT89" i="8" a="1"/>
  <c r="AT89" i="8" s="1"/>
  <c r="AS89" i="8"/>
  <c r="AT90" i="8" a="1"/>
  <c r="AT90" i="8" s="1"/>
  <c r="AS90" i="8"/>
  <c r="AT71" i="8" a="1"/>
  <c r="AT71" i="8" s="1"/>
  <c r="AS71" i="8"/>
  <c r="AT72" i="8" a="1"/>
  <c r="AT72" i="8" s="1"/>
  <c r="AS72" i="8"/>
  <c r="AS54" i="8"/>
  <c r="AT54" i="8" a="1"/>
  <c r="AT54" i="8" s="1"/>
  <c r="AT36" i="8" a="1"/>
  <c r="AT36" i="8" s="1"/>
  <c r="AS36" i="8"/>
  <c r="AS77" i="8"/>
  <c r="AT77" i="8" a="1"/>
  <c r="AT77" i="8" s="1"/>
  <c r="AT20" i="8" a="1"/>
  <c r="AT20" i="8" s="1"/>
  <c r="AS20" i="8"/>
  <c r="AT40" i="8" a="1"/>
  <c r="AT40" i="8" s="1"/>
  <c r="AS40" i="8"/>
  <c r="AT60" i="8" a="1"/>
  <c r="AT60" i="8" s="1"/>
  <c r="AS60" i="8"/>
  <c r="AT80" i="8" a="1"/>
  <c r="AT80" i="8" s="1"/>
  <c r="AS80" i="8"/>
  <c r="AT99" i="8" a="1"/>
  <c r="AT99" i="8" s="1"/>
  <c r="AS99" i="8"/>
  <c r="AT22" i="8" a="1"/>
  <c r="AT22" i="8" s="1"/>
  <c r="AS22" i="8"/>
  <c r="AS64" i="8"/>
  <c r="AT64" i="8" a="1"/>
  <c r="AT64" i="8" s="1"/>
  <c r="AT66" i="8" a="1"/>
  <c r="AT66" i="8" s="1"/>
  <c r="AS66" i="8"/>
  <c r="AT28" i="8" a="1"/>
  <c r="AT28" i="8" s="1"/>
  <c r="AS28" i="8"/>
  <c r="AT69" i="8" a="1"/>
  <c r="AT69" i="8" s="1"/>
  <c r="AS69" i="8"/>
  <c r="AT51" i="8" a="1"/>
  <c r="AT51" i="8" s="1"/>
  <c r="AS51" i="8"/>
  <c r="AT12" i="8" a="1"/>
  <c r="AT12" i="8" s="1"/>
  <c r="AS12" i="8"/>
  <c r="AT73" i="8" a="1"/>
  <c r="AT73" i="8" s="1"/>
  <c r="AS73" i="8"/>
  <c r="AS34" i="8"/>
  <c r="AT34" i="8" a="1"/>
  <c r="AT34" i="8" s="1"/>
  <c r="AT76" i="8" a="1"/>
  <c r="AT76" i="8" s="1"/>
  <c r="AS76" i="8"/>
  <c r="AS57" i="8"/>
  <c r="AT57" i="8" a="1"/>
  <c r="AT57" i="8" s="1"/>
  <c r="AT21" i="8" a="1"/>
  <c r="AT21" i="8" s="1"/>
  <c r="AS21" i="8"/>
  <c r="AT41" i="8" a="1"/>
  <c r="AT41" i="8" s="1"/>
  <c r="AS41" i="8"/>
  <c r="AT61" i="8" a="1"/>
  <c r="AT61" i="8" s="1"/>
  <c r="AS61" i="8"/>
  <c r="AT81" i="8" a="1"/>
  <c r="AT81" i="8" s="1"/>
  <c r="AS81" i="8"/>
  <c r="AT100" i="8" a="1"/>
  <c r="AT100" i="8" s="1"/>
  <c r="AS100" i="8"/>
  <c r="AO83" i="8" a="1"/>
  <c r="AO83" i="8" s="1"/>
  <c r="AN83" i="8"/>
  <c r="AN84" i="8"/>
  <c r="AO84" i="8" a="1"/>
  <c r="AO84" i="8" s="1"/>
  <c r="AO62" i="8" a="1"/>
  <c r="AO62" i="8" s="1"/>
  <c r="AN62" i="8"/>
  <c r="AO5" i="8" a="1"/>
  <c r="AO5" i="8" s="1"/>
  <c r="AN5" i="8"/>
  <c r="AN7" i="8"/>
  <c r="AO7" i="8" a="1"/>
  <c r="AO7" i="8" s="1"/>
  <c r="AO82" i="8" a="1"/>
  <c r="AO82" i="8" s="1"/>
  <c r="AN82" i="8"/>
  <c r="AN4" i="8"/>
  <c r="AO4" i="8" a="1"/>
  <c r="AO4" i="8" s="1"/>
  <c r="AO88" i="8" a="1"/>
  <c r="AO88" i="8" s="1"/>
  <c r="AN88" i="8"/>
  <c r="AO43" i="8" a="1"/>
  <c r="AO43" i="8" s="1"/>
  <c r="AN43" i="8"/>
  <c r="AN67" i="8"/>
  <c r="AO67" i="8" a="1"/>
  <c r="AO67" i="8" s="1"/>
  <c r="AO29" i="8" a="1"/>
  <c r="AO29" i="8" s="1"/>
  <c r="AN29" i="8"/>
  <c r="AO49" i="8" a="1"/>
  <c r="AO49" i="8" s="1"/>
  <c r="AN49" i="8"/>
  <c r="AO69" i="8" a="1"/>
  <c r="AO69" i="8" s="1"/>
  <c r="AN69" i="8"/>
  <c r="AO89" i="8" a="1"/>
  <c r="AO89" i="8" s="1"/>
  <c r="AN89" i="8"/>
  <c r="AN44" i="8"/>
  <c r="AO44" i="8" a="1"/>
  <c r="AO44" i="8" s="1"/>
  <c r="AO21" i="8" a="1"/>
  <c r="AO21" i="8" s="1"/>
  <c r="AN21" i="8"/>
  <c r="AO85" i="8" a="1"/>
  <c r="AO85" i="8" s="1"/>
  <c r="AN85" i="8"/>
  <c r="AN87" i="8"/>
  <c r="AO87" i="8" a="1"/>
  <c r="AO87" i="8" s="1"/>
  <c r="AO81" i="8" a="1"/>
  <c r="AO81" i="8" s="1"/>
  <c r="AN81" i="8"/>
  <c r="AN64" i="8"/>
  <c r="AO64" i="8" a="1"/>
  <c r="AO64" i="8" s="1"/>
  <c r="AO46" i="8" a="1"/>
  <c r="AO46" i="8" s="1"/>
  <c r="AN46" i="8"/>
  <c r="AO68" i="8" a="1"/>
  <c r="AO68" i="8" s="1"/>
  <c r="AN68" i="8"/>
  <c r="AO50" i="8" a="1"/>
  <c r="AO50" i="8" s="1"/>
  <c r="AN50" i="8"/>
  <c r="AO11" i="8" a="1"/>
  <c r="AO11" i="8" s="1"/>
  <c r="AN11" i="8"/>
  <c r="AO92" i="8" a="1"/>
  <c r="AO92" i="8" s="1"/>
  <c r="AN92" i="8"/>
  <c r="AO53" i="8" a="1"/>
  <c r="AO53" i="8" s="1"/>
  <c r="AN53" i="8"/>
  <c r="AO15" i="8" a="1"/>
  <c r="AO15" i="8" s="1"/>
  <c r="AN15" i="8"/>
  <c r="AO35" i="8" a="1"/>
  <c r="AO35" i="8" s="1"/>
  <c r="AN35" i="8"/>
  <c r="AO55" i="8" a="1"/>
  <c r="AO55" i="8" s="1"/>
  <c r="AN55" i="8"/>
  <c r="AO75" i="8" a="1"/>
  <c r="AO75" i="8" s="1"/>
  <c r="AN75" i="8"/>
  <c r="AO95" i="8" a="1"/>
  <c r="AO95" i="8" s="1"/>
  <c r="AN95" i="8"/>
  <c r="AO61" i="8" a="1"/>
  <c r="AO61" i="8" s="1"/>
  <c r="AN61" i="8"/>
  <c r="AO65" i="8" a="1"/>
  <c r="AO65" i="8" s="1"/>
  <c r="AN65" i="8"/>
  <c r="AO26" i="8" a="1"/>
  <c r="AO26" i="8" s="1"/>
  <c r="AN26" i="8"/>
  <c r="AN27" i="8"/>
  <c r="AO27" i="8" a="1"/>
  <c r="AO27" i="8" s="1"/>
  <c r="AO8" i="8" a="1"/>
  <c r="AO8" i="8" s="1"/>
  <c r="AN8" i="8"/>
  <c r="AO9" i="8" a="1"/>
  <c r="AO9" i="8" s="1"/>
  <c r="AN9" i="8"/>
  <c r="AO90" i="8" a="1"/>
  <c r="AO90" i="8" s="1"/>
  <c r="AN90" i="8"/>
  <c r="AO71" i="8" a="1"/>
  <c r="AO71" i="8" s="1"/>
  <c r="AN71" i="8"/>
  <c r="AO12" i="8" a="1"/>
  <c r="AO12" i="8" s="1"/>
  <c r="AN12" i="8"/>
  <c r="AO16" i="8" a="1"/>
  <c r="AO16" i="8" s="1"/>
  <c r="AN16" i="8"/>
  <c r="AO36" i="8" a="1"/>
  <c r="AO36" i="8" s="1"/>
  <c r="AN36" i="8"/>
  <c r="AO56" i="8" a="1"/>
  <c r="AO56" i="8" s="1"/>
  <c r="AN56" i="8"/>
  <c r="AO76" i="8" a="1"/>
  <c r="AO76" i="8" s="1"/>
  <c r="AN76" i="8"/>
  <c r="AO96" i="8" a="1"/>
  <c r="AO96" i="8" s="1"/>
  <c r="AN96" i="8"/>
  <c r="AO22" i="8" a="1"/>
  <c r="AO22" i="8" s="1"/>
  <c r="AN22" i="8"/>
  <c r="AO25" i="8" a="1"/>
  <c r="AO25" i="8" s="1"/>
  <c r="AN25" i="8"/>
  <c r="AO6" i="8" a="1"/>
  <c r="AO6" i="8" s="1"/>
  <c r="AN6" i="8"/>
  <c r="AN47" i="8"/>
  <c r="AO47" i="8" a="1"/>
  <c r="AO47" i="8" s="1"/>
  <c r="AO28" i="8" a="1"/>
  <c r="AO28" i="8" s="1"/>
  <c r="AN28" i="8"/>
  <c r="AO70" i="8" a="1"/>
  <c r="AO70" i="8" s="1"/>
  <c r="AN70" i="8"/>
  <c r="AO91" i="8" a="1"/>
  <c r="AO91" i="8" s="1"/>
  <c r="AN91" i="8"/>
  <c r="AO52" i="8" a="1"/>
  <c r="AO52" i="8" s="1"/>
  <c r="AN52" i="8"/>
  <c r="AO13" i="8" a="1"/>
  <c r="AO13" i="8" s="1"/>
  <c r="AN13" i="8"/>
  <c r="AN34" i="8"/>
  <c r="AO34" i="8" a="1"/>
  <c r="AO34" i="8" s="1"/>
  <c r="AN17" i="8"/>
  <c r="AO17" i="8" a="1"/>
  <c r="AO17" i="8" s="1"/>
  <c r="AN37" i="8"/>
  <c r="AO37" i="8" a="1"/>
  <c r="AO37" i="8" s="1"/>
  <c r="AN57" i="8"/>
  <c r="AO57" i="8" a="1"/>
  <c r="AO57" i="8" s="1"/>
  <c r="AN77" i="8"/>
  <c r="AO77" i="8" a="1"/>
  <c r="AO77" i="8" s="1"/>
  <c r="AN97" i="8"/>
  <c r="AO97" i="8" a="1"/>
  <c r="AO97" i="8" s="1"/>
  <c r="AO41" i="8" a="1"/>
  <c r="AO41" i="8" s="1"/>
  <c r="AN41" i="8"/>
  <c r="AO23" i="8" a="1"/>
  <c r="AO23" i="8" s="1"/>
  <c r="AN23" i="8"/>
  <c r="AO66" i="8" a="1"/>
  <c r="AO66" i="8" s="1"/>
  <c r="AN66" i="8"/>
  <c r="AO30" i="8" a="1"/>
  <c r="AO30" i="8" s="1"/>
  <c r="AN30" i="8"/>
  <c r="AO51" i="8" a="1"/>
  <c r="AO51" i="8" s="1"/>
  <c r="AN51" i="8"/>
  <c r="AO32" i="8" a="1"/>
  <c r="AO32" i="8" s="1"/>
  <c r="AN32" i="8"/>
  <c r="AO73" i="8" a="1"/>
  <c r="AO73" i="8" s="1"/>
  <c r="AN73" i="8"/>
  <c r="AN74" i="8"/>
  <c r="AO74" i="8" a="1"/>
  <c r="AO74" i="8" s="1"/>
  <c r="AO18" i="8" a="1"/>
  <c r="AO18" i="8" s="1"/>
  <c r="AN18" i="8"/>
  <c r="AO38" i="8" a="1"/>
  <c r="AO38" i="8" s="1"/>
  <c r="AN38" i="8"/>
  <c r="AO58" i="8" a="1"/>
  <c r="AO58" i="8" s="1"/>
  <c r="AN58" i="8"/>
  <c r="AO78" i="8" a="1"/>
  <c r="AO78" i="8" s="1"/>
  <c r="AN78" i="8"/>
  <c r="AO98" i="8" a="1"/>
  <c r="AO98" i="8" s="1"/>
  <c r="AN98" i="8"/>
  <c r="AO42" i="8" a="1"/>
  <c r="AO42" i="8" s="1"/>
  <c r="AN42" i="8"/>
  <c r="AN24" i="8"/>
  <c r="AO24" i="8" a="1"/>
  <c r="AO24" i="8" s="1"/>
  <c r="AO86" i="8" a="1"/>
  <c r="AO86" i="8" s="1"/>
  <c r="AN86" i="8"/>
  <c r="AO31" i="8" a="1"/>
  <c r="AO31" i="8" s="1"/>
  <c r="AN31" i="8"/>
  <c r="AO72" i="8" a="1"/>
  <c r="AO72" i="8" s="1"/>
  <c r="AN72" i="8"/>
  <c r="AO33" i="8" a="1"/>
  <c r="AO33" i="8" s="1"/>
  <c r="AN33" i="8"/>
  <c r="AN94" i="8"/>
  <c r="AO94" i="8" a="1"/>
  <c r="AO94" i="8" s="1"/>
  <c r="AO19" i="8" a="1"/>
  <c r="AO19" i="8" s="1"/>
  <c r="AN19" i="8"/>
  <c r="AO39" i="8" a="1"/>
  <c r="AO39" i="8" s="1"/>
  <c r="AN39" i="8"/>
  <c r="AO59" i="8" a="1"/>
  <c r="AO59" i="8" s="1"/>
  <c r="AN59" i="8"/>
  <c r="AO79" i="8" a="1"/>
  <c r="AO79" i="8" s="1"/>
  <c r="AN79" i="8"/>
  <c r="AO99" i="8" a="1"/>
  <c r="AO99" i="8" s="1"/>
  <c r="AN99" i="8"/>
  <c r="AO63" i="8" a="1"/>
  <c r="AO63" i="8" s="1"/>
  <c r="AN63" i="8"/>
  <c r="AO45" i="8" a="1"/>
  <c r="AO45" i="8" s="1"/>
  <c r="AN45" i="8"/>
  <c r="AO48" i="8" a="1"/>
  <c r="AO48" i="8" s="1"/>
  <c r="AN48" i="8"/>
  <c r="AO10" i="8" a="1"/>
  <c r="AO10" i="8" s="1"/>
  <c r="AN10" i="8"/>
  <c r="AO93" i="8" a="1"/>
  <c r="AO93" i="8" s="1"/>
  <c r="AN93" i="8"/>
  <c r="AN14" i="8"/>
  <c r="AO14" i="8" a="1"/>
  <c r="AO14" i="8" s="1"/>
  <c r="AN54" i="8"/>
  <c r="AO54" i="8" a="1"/>
  <c r="AO54" i="8" s="1"/>
  <c r="AO20" i="8" a="1"/>
  <c r="AO20" i="8" s="1"/>
  <c r="AN20" i="8"/>
  <c r="AO40" i="8" a="1"/>
  <c r="AO40" i="8" s="1"/>
  <c r="AN40" i="8"/>
  <c r="AO60" i="8" a="1"/>
  <c r="AO60" i="8" s="1"/>
  <c r="AN60" i="8"/>
  <c r="AO80" i="8" a="1"/>
  <c r="AO80" i="8" s="1"/>
  <c r="AN80" i="8"/>
  <c r="AO100" i="8" a="1"/>
  <c r="AO100" i="8" s="1"/>
  <c r="AN100" i="8"/>
  <c r="AH4" i="8" a="1"/>
  <c r="AH4" i="8" s="1"/>
  <c r="F6" i="6"/>
  <c r="F7" i="6"/>
  <c r="F8" i="6"/>
  <c r="F9" i="6"/>
  <c r="F10" i="6"/>
  <c r="F11" i="6"/>
  <c r="F12" i="6"/>
  <c r="F13" i="6"/>
  <c r="F5" i="6"/>
  <c r="G13" i="6"/>
  <c r="B5" i="6" a="1"/>
  <c r="B5" i="6" s="1"/>
  <c r="E5" i="6" s="1"/>
  <c r="G5" i="6" s="1"/>
  <c r="AG4" i="8" l="1"/>
  <c r="AI4" i="8" s="1"/>
  <c r="AJ4" i="8" a="1"/>
  <c r="AJ4" i="8" s="1"/>
  <c r="E11" i="6"/>
  <c r="G11" i="6" s="1"/>
  <c r="E10" i="6"/>
  <c r="G10" i="6" s="1"/>
  <c r="E9" i="6"/>
  <c r="G9" i="6" s="1"/>
  <c r="E6" i="6"/>
  <c r="G6" i="6" s="1"/>
  <c r="E8" i="6"/>
  <c r="G8" i="6" s="1"/>
  <c r="E12" i="6"/>
  <c r="G12" i="6" s="1"/>
  <c r="E7" i="6"/>
  <c r="G7" i="6" s="1"/>
  <c r="X43" i="8"/>
  <c r="X41" i="8"/>
  <c r="X52" i="8"/>
  <c r="Y30" i="8"/>
  <c r="X37" i="8"/>
  <c r="Y55" i="8"/>
  <c r="X19" i="8"/>
  <c r="X13" i="8"/>
  <c r="Y18" i="8"/>
  <c r="X54" i="8"/>
  <c r="Y33" i="8"/>
  <c r="X23" i="8"/>
  <c r="X11" i="8"/>
  <c r="Y45" i="8"/>
  <c r="W60" i="8"/>
  <c r="X16" i="8"/>
  <c r="X27" i="8"/>
  <c r="Y16" i="8"/>
  <c r="Y51" i="8"/>
  <c r="W20" i="8"/>
  <c r="X40" i="8"/>
  <c r="X30" i="8"/>
  <c r="Y61" i="8"/>
  <c r="W41" i="8"/>
  <c r="W52" i="8"/>
  <c r="W24" i="8"/>
  <c r="W37" i="8"/>
  <c r="X55" i="8"/>
  <c r="W13" i="8"/>
  <c r="W57" i="8"/>
  <c r="Y57" i="8"/>
  <c r="W22" i="8"/>
  <c r="X57" i="8"/>
  <c r="Y35" i="8"/>
  <c r="X35" i="8"/>
  <c r="Y17" i="8"/>
  <c r="Y32" i="8"/>
  <c r="Y64" i="8"/>
  <c r="X25" i="8"/>
  <c r="Y46" i="8"/>
  <c r="X46" i="8"/>
  <c r="X20" i="8"/>
  <c r="X36" i="8"/>
  <c r="W30" i="8"/>
  <c r="Y19" i="8"/>
  <c r="X61" i="8"/>
  <c r="W59" i="8"/>
  <c r="Y52" i="8"/>
  <c r="X24" i="8"/>
  <c r="Y31" i="8"/>
  <c r="W55" i="8"/>
  <c r="W18" i="8"/>
  <c r="Y15" i="8"/>
  <c r="W15" i="8"/>
  <c r="Y50" i="8"/>
  <c r="X33" i="8"/>
  <c r="W33" i="8"/>
  <c r="X38" i="8"/>
  <c r="W45" i="8"/>
  <c r="X29" i="8"/>
  <c r="X64" i="8"/>
  <c r="Y28" i="8"/>
  <c r="W51" i="8"/>
  <c r="W36" i="8"/>
  <c r="W40" i="8"/>
  <c r="W61" i="8"/>
  <c r="Y59" i="8"/>
  <c r="Y34" i="8"/>
  <c r="Y24" i="8"/>
  <c r="X31" i="8"/>
  <c r="Y53" i="8"/>
  <c r="X18" i="8"/>
  <c r="X15" i="8"/>
  <c r="W34" i="8"/>
  <c r="W23" i="8"/>
  <c r="Y12" i="8"/>
  <c r="Y21" i="8"/>
  <c r="W11" i="8"/>
  <c r="W21" i="8"/>
  <c r="W32" i="8"/>
  <c r="Y29" i="8"/>
  <c r="W48" i="8"/>
  <c r="Y27" i="8"/>
  <c r="X39" i="8"/>
  <c r="Y20" i="8"/>
  <c r="Y58" i="8"/>
  <c r="X14" i="8"/>
  <c r="X63" i="8"/>
  <c r="Y26" i="8"/>
  <c r="X59" i="8"/>
  <c r="X34" i="8"/>
  <c r="Y54" i="8"/>
  <c r="W31" i="8"/>
  <c r="X53" i="8"/>
  <c r="Y22" i="8"/>
  <c r="X22" i="8"/>
  <c r="X12" i="8"/>
  <c r="W54" i="8"/>
  <c r="Y38" i="8"/>
  <c r="X21" i="8"/>
  <c r="X32" i="8"/>
  <c r="W64" i="8"/>
  <c r="X62" i="8"/>
  <c r="W49" i="8"/>
  <c r="Y56" i="8"/>
  <c r="W58" i="8"/>
  <c r="W19" i="8"/>
  <c r="Y41" i="8"/>
  <c r="X26" i="8"/>
  <c r="W53" i="8"/>
  <c r="W35" i="8"/>
  <c r="W39" i="8"/>
  <c r="W16" i="8"/>
  <c r="W63" i="8"/>
  <c r="Y13" i="8"/>
  <c r="W26" i="8"/>
  <c r="X50" i="8"/>
  <c r="Y11" i="8"/>
  <c r="W17" i="8"/>
  <c r="Y25" i="8"/>
  <c r="W62" i="8"/>
  <c r="W28" i="8"/>
  <c r="Y42" i="8"/>
  <c r="W50" i="8"/>
  <c r="X60" i="8"/>
  <c r="X49" i="8"/>
  <c r="W46" i="8"/>
  <c r="X58" i="8"/>
  <c r="X42" i="8"/>
  <c r="Y47" i="8"/>
  <c r="Y23" i="8"/>
  <c r="W38" i="8"/>
  <c r="Y62" i="8"/>
  <c r="W27" i="8"/>
  <c r="Y40" i="8"/>
  <c r="Y43" i="8"/>
  <c r="W44" i="8"/>
  <c r="W42" i="8"/>
  <c r="X47" i="8"/>
  <c r="Y49" i="8"/>
  <c r="X28" i="8"/>
  <c r="W14" i="8"/>
  <c r="Y36" i="8"/>
  <c r="X44" i="8"/>
  <c r="Y60" i="8"/>
  <c r="W47" i="8"/>
  <c r="X45" i="8"/>
  <c r="Y48" i="8"/>
  <c r="X17" i="8"/>
  <c r="W29" i="8"/>
  <c r="W25" i="8"/>
  <c r="X51" i="8"/>
  <c r="Y63" i="8"/>
  <c r="Y37" i="8"/>
  <c r="Y44" i="8"/>
  <c r="X48" i="8"/>
  <c r="Y39" i="8"/>
  <c r="X56" i="8"/>
  <c r="W56" i="8"/>
  <c r="Y14" i="8"/>
  <c r="W43" i="8"/>
  <c r="Z34" i="8" l="1"/>
  <c r="Z32" i="8"/>
  <c r="Z33" i="8"/>
  <c r="Z53" i="8"/>
  <c r="Z54" i="8"/>
  <c r="Z55" i="8"/>
  <c r="Z58" i="8"/>
  <c r="Z56" i="8"/>
  <c r="Z57" i="8"/>
  <c r="Z29" i="8"/>
  <c r="Z30" i="8"/>
  <c r="Z31" i="8"/>
  <c r="Z35" i="8"/>
  <c r="Z36" i="8"/>
  <c r="Z37" i="8"/>
  <c r="Z39" i="8"/>
  <c r="Z38" i="8"/>
  <c r="Z40" i="8"/>
  <c r="Z25" i="8"/>
  <c r="Z24" i="8"/>
  <c r="Z23" i="8"/>
  <c r="Z47" i="8"/>
  <c r="Z48" i="8"/>
  <c r="Z49" i="8"/>
  <c r="Z50" i="8"/>
  <c r="Z51" i="8"/>
  <c r="Z52" i="8"/>
  <c r="Z60" i="8"/>
  <c r="Z61" i="8"/>
  <c r="Z59" i="8"/>
  <c r="Z41" i="8"/>
  <c r="Z42" i="8"/>
  <c r="Z43" i="8"/>
  <c r="Z26" i="8"/>
  <c r="Z27" i="8"/>
  <c r="Z28" i="8"/>
  <c r="Z62" i="8"/>
  <c r="Z63" i="8"/>
  <c r="Z64" i="8"/>
  <c r="Z46" i="8"/>
  <c r="Z45" i="8"/>
  <c r="Z44" i="8"/>
  <c r="Z18" i="8"/>
  <c r="Z17" i="8"/>
  <c r="Z19" i="8"/>
  <c r="Z20" i="8"/>
  <c r="Z21" i="8"/>
  <c r="Z22" i="8"/>
  <c r="Z13" i="8"/>
  <c r="Z11" i="8"/>
  <c r="Z12" i="8"/>
  <c r="Z14" i="8"/>
  <c r="Z15" i="8"/>
  <c r="Z16" i="8"/>
  <c r="Y8" i="8"/>
  <c r="W8" i="8"/>
  <c r="Y10" i="8"/>
  <c r="X8" i="8"/>
  <c r="Y7" i="8"/>
  <c r="X7" i="8"/>
  <c r="Y6" i="8"/>
  <c r="X6" i="8"/>
  <c r="Y9" i="8"/>
  <c r="X9" i="8"/>
  <c r="W7" i="8"/>
  <c r="W10" i="8"/>
  <c r="X10" i="8"/>
  <c r="W6" i="8"/>
  <c r="W9" i="8"/>
  <c r="Z8" i="8" l="1"/>
  <c r="Z9" i="8"/>
  <c r="Z10" i="8"/>
  <c r="Y5" i="8"/>
  <c r="W5" i="8"/>
  <c r="X5" i="8"/>
  <c r="Z6" i="8" l="1"/>
  <c r="Z5" i="8"/>
  <c r="Z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진경</author>
  </authors>
  <commentList>
    <comment ref="G4" authorId="0" shapeId="0" xr:uid="{21818F1D-31B2-4852-98B1-3CBB6B3283C0}">
      <text>
        <r>
          <rPr>
            <b/>
            <sz val="9"/>
            <color indexed="81"/>
            <rFont val="돋움"/>
            <family val="3"/>
            <charset val="129"/>
          </rPr>
          <t>메인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캐릭터만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<sst xmlns="http://schemas.openxmlformats.org/spreadsheetml/2006/main" count="1102" uniqueCount="200">
  <si>
    <t>테스트 데이터</t>
  </si>
  <si>
    <t>지역 상성</t>
  </si>
  <si>
    <t>데이터 원본</t>
  </si>
  <si>
    <t>데이터 분리</t>
  </si>
  <si>
    <t>로컬라이징</t>
  </si>
  <si>
    <t>TC 원본</t>
  </si>
  <si>
    <t>학생</t>
  </si>
  <si>
    <t>분류</t>
  </si>
  <si>
    <t>체력</t>
  </si>
  <si>
    <t>공격력</t>
  </si>
  <si>
    <t>회복력</t>
  </si>
  <si>
    <t>방어력</t>
  </si>
  <si>
    <t>명중 수치</t>
  </si>
  <si>
    <t>회피 수치</t>
  </si>
  <si>
    <t>치명 수치</t>
  </si>
  <si>
    <t>치명대미지</t>
  </si>
  <si>
    <t>안정 수치</t>
  </si>
  <si>
    <t>CC강화력</t>
  </si>
  <si>
    <t>CC저항력</t>
  </si>
  <si>
    <t>코스트회복</t>
  </si>
  <si>
    <t>방어관통</t>
  </si>
  <si>
    <t>시가</t>
  </si>
  <si>
    <t>실내</t>
  </si>
  <si>
    <t>야외</t>
  </si>
  <si>
    <t>학생 스탯</t>
  </si>
  <si>
    <t>★3 / 1레벨</t>
  </si>
  <si>
    <t>데이터 범위</t>
  </si>
  <si>
    <t>에리</t>
  </si>
  <si>
    <t>AccountLevelup 90</t>
  </si>
  <si>
    <t>★5 / 90레벨</t>
  </si>
  <si>
    <t>Additem all 5000</t>
  </si>
  <si>
    <t>고유무기
스탯</t>
  </si>
  <si>
    <t>고유무기 1레벨</t>
  </si>
  <si>
    <t>防御力 19</t>
  </si>
  <si>
    <t>-</t>
  </si>
  <si>
    <t>AddEquip all 5000</t>
  </si>
  <si>
    <t>命中値 944</t>
  </si>
  <si>
    <t>고유무기 60레벨</t>
  </si>
  <si>
    <t>smtm gold 1000000000</t>
  </si>
  <si>
    <t>≪고유무기 만렙≫</t>
  </si>
  <si>
    <t>会心値 209</t>
  </si>
  <si>
    <t>시가 : S (SS)</t>
  </si>
  <si>
    <t>인연 스탯
랭크 50</t>
  </si>
  <si>
    <t>防御貫通値 0</t>
  </si>
  <si>
    <t>야외 : B</t>
  </si>
  <si>
    <t>실내 : D</t>
  </si>
  <si>
    <t>治癒力 1725</t>
  </si>
  <si>
    <t>카노에</t>
  </si>
  <si>
    <t>&lt;스탯 로컬라이즈&gt;</t>
  </si>
  <si>
    <t>回避値 190</t>
  </si>
  <si>
    <t>JP</t>
  </si>
  <si>
    <t>KR</t>
  </si>
  <si>
    <t>会心ダメージ 200%</t>
  </si>
  <si>
    <t>HP</t>
  </si>
  <si>
    <t>安定値 1900</t>
  </si>
  <si>
    <t>攻撃力</t>
  </si>
  <si>
    <t>시가 : D</t>
  </si>
  <si>
    <t>治癒力</t>
  </si>
  <si>
    <t>CC強化力 100</t>
  </si>
  <si>
    <t>防御力</t>
  </si>
  <si>
    <t>실내 : S (SS)</t>
  </si>
  <si>
    <t>命中値</t>
  </si>
  <si>
    <t>回避値</t>
  </si>
  <si>
    <t>会心値</t>
  </si>
  <si>
    <t>コスト回復力 700</t>
  </si>
  <si>
    <t>会心ダメージ</t>
  </si>
  <si>
    <t>CC抵抗力 100</t>
  </si>
  <si>
    <t>安定値</t>
  </si>
  <si>
    <t>CC強化力</t>
  </si>
  <si>
    <t>CC抵抗力</t>
  </si>
  <si>
    <t>コスト回復力</t>
  </si>
  <si>
    <t>防御貫通値</t>
  </si>
  <si>
    <t>市街地戦闘力</t>
  </si>
  <si>
    <t>最大HP</t>
  </si>
  <si>
    <t>屋外戦闘力</t>
  </si>
  <si>
    <t>屋内戦闘力</t>
  </si>
  <si>
    <t>射程距離</t>
  </si>
  <si>
    <t>사정거리</t>
  </si>
  <si>
    <t>貫通特効</t>
  </si>
  <si>
    <t>관통특효</t>
  </si>
  <si>
    <t>最大コスト増加</t>
  </si>
  <si>
    <t>최대 코스트 증가</t>
  </si>
  <si>
    <t>&lt;모모톡 로컬라이즈&gt;</t>
  </si>
  <si>
    <t>防御力 104</t>
  </si>
  <si>
    <t>治癒力 5938</t>
  </si>
  <si>
    <t>CC抵抗力 136</t>
  </si>
  <si>
    <t>학생 1</t>
  </si>
  <si>
    <t>학생 5</t>
  </si>
  <si>
    <t>학생 6</t>
  </si>
  <si>
    <t>학생 7</t>
  </si>
  <si>
    <t>학생 8</t>
  </si>
  <si>
    <t>학생 9</t>
  </si>
  <si>
    <t>학생 10</t>
  </si>
  <si>
    <t>最大HP 536</t>
  </si>
  <si>
    <t xml:space="preserve"> HP 2396</t>
  </si>
  <si>
    <t xml:space="preserve"> 射程距離 750</t>
  </si>
  <si>
    <t>HP 3412</t>
  </si>
  <si>
    <t>最大HP970</t>
  </si>
  <si>
    <t>에리(수영복)</t>
    <phoneticPr fontId="3" type="noConversion"/>
  </si>
  <si>
    <t>에리(어쩌구)</t>
    <phoneticPr fontId="3" type="noConversion"/>
  </si>
  <si>
    <t>ID</t>
    <phoneticPr fontId="3" type="noConversion"/>
  </si>
  <si>
    <t>카노에</t>
    <phoneticPr fontId="3" type="noConversion"/>
  </si>
  <si>
    <t>1(감자)</t>
    <phoneticPr fontId="3" type="noConversion"/>
  </si>
  <si>
    <t>KR 이름</t>
    <phoneticPr fontId="3" type="noConversion"/>
  </si>
  <si>
    <t>JP 이름</t>
    <phoneticPr fontId="3" type="noConversion"/>
  </si>
  <si>
    <t>테스트 학생 리스트</t>
    <phoneticPr fontId="3" type="noConversion"/>
  </si>
  <si>
    <t>메인 캐릭터 여부</t>
    <phoneticPr fontId="3" type="noConversion"/>
  </si>
  <si>
    <t>캐릭터 생성 치트</t>
    <phoneticPr fontId="3" type="noConversion"/>
  </si>
  <si>
    <t>캐릭터 강화 치트</t>
    <phoneticPr fontId="3" type="noConversion"/>
  </si>
  <si>
    <t>계정 세팅 치트 리스트</t>
    <phoneticPr fontId="3" type="noConversion"/>
  </si>
  <si>
    <t>생성치트는 스크립트 시작 시 일괄 수행</t>
    <phoneticPr fontId="3" type="noConversion"/>
  </si>
  <si>
    <t>강화 치트는 루프문 안에서 각 학생에 대해서만</t>
    <phoneticPr fontId="3" type="noConversion"/>
  </si>
  <si>
    <t>振動特効</t>
  </si>
  <si>
    <t>진동특효</t>
    <phoneticPr fontId="3" type="noConversion"/>
  </si>
  <si>
    <t>학생 2</t>
    <phoneticPr fontId="3" type="noConversion"/>
  </si>
  <si>
    <t>학생 3</t>
    <phoneticPr fontId="3" type="noConversion"/>
  </si>
  <si>
    <t>학생 4</t>
    <phoneticPr fontId="3" type="noConversion"/>
  </si>
  <si>
    <t>실내 : S (SS)</t>
    <phoneticPr fontId="3" type="noConversion"/>
  </si>
  <si>
    <r>
      <t>攻</t>
    </r>
    <r>
      <rPr>
        <sz val="9"/>
        <color theme="1"/>
        <rFont val="맑은 고딕"/>
        <family val="3"/>
        <charset val="128"/>
        <scheme val="minor"/>
      </rPr>
      <t>撃</t>
    </r>
    <r>
      <rPr>
        <sz val="9"/>
        <color theme="1"/>
        <rFont val="맑은 고딕"/>
        <family val="2"/>
        <charset val="129"/>
        <scheme val="minor"/>
      </rPr>
      <t>力 373</t>
    </r>
  </si>
  <si>
    <r>
      <t>CC</t>
    </r>
    <r>
      <rPr>
        <sz val="9"/>
        <color theme="1"/>
        <rFont val="맑은 고딕"/>
        <family val="3"/>
        <charset val="128"/>
        <scheme val="minor"/>
      </rPr>
      <t>強</t>
    </r>
    <r>
      <rPr>
        <sz val="9"/>
        <color theme="1"/>
        <rFont val="맑은 고딕"/>
        <family val="2"/>
        <charset val="129"/>
        <scheme val="minor"/>
      </rPr>
      <t>化力 100</t>
    </r>
  </si>
  <si>
    <r>
      <t>振動特</t>
    </r>
    <r>
      <rPr>
        <sz val="9"/>
        <color theme="1"/>
        <rFont val="맑은 고딕"/>
        <family val="3"/>
        <charset val="128"/>
        <scheme val="minor"/>
      </rPr>
      <t>効</t>
    </r>
    <r>
      <rPr>
        <sz val="9"/>
        <color theme="1"/>
        <rFont val="맑은 고딕"/>
        <family val="2"/>
        <charset val="129"/>
        <scheme val="minor"/>
      </rPr>
      <t xml:space="preserve"> 200%</t>
    </r>
  </si>
  <si>
    <r>
      <t>市街地</t>
    </r>
    <r>
      <rPr>
        <sz val="9"/>
        <color theme="1"/>
        <rFont val="맑은 고딕"/>
        <family val="3"/>
        <charset val="128"/>
        <scheme val="minor"/>
      </rPr>
      <t>戦闘</t>
    </r>
    <r>
      <rPr>
        <sz val="9"/>
        <color theme="1"/>
        <rFont val="맑은 고딕"/>
        <family val="2"/>
        <charset val="129"/>
        <scheme val="minor"/>
      </rPr>
      <t>力 S</t>
    </r>
  </si>
  <si>
    <r>
      <t>屋</t>
    </r>
    <r>
      <rPr>
        <sz val="9"/>
        <color theme="1"/>
        <rFont val="맑은 고딕"/>
        <family val="3"/>
        <charset val="128"/>
        <scheme val="minor"/>
      </rPr>
      <t>内戦闘</t>
    </r>
    <r>
      <rPr>
        <sz val="9"/>
        <color theme="1"/>
        <rFont val="맑은 고딕"/>
        <family val="2"/>
        <charset val="129"/>
        <scheme val="minor"/>
      </rPr>
      <t>力 D</t>
    </r>
  </si>
  <si>
    <r>
      <t>最大コスト</t>
    </r>
    <r>
      <rPr>
        <sz val="9"/>
        <color theme="1"/>
        <rFont val="맑은 고딕"/>
        <family val="3"/>
        <charset val="128"/>
        <scheme val="minor"/>
      </rPr>
      <t>増</t>
    </r>
    <r>
      <rPr>
        <sz val="9"/>
        <color theme="1"/>
        <rFont val="맑은 고딕"/>
        <family val="2"/>
        <charset val="129"/>
        <scheme val="minor"/>
      </rPr>
      <t>加 0</t>
    </r>
  </si>
  <si>
    <r>
      <t xml:space="preserve"> 屋外</t>
    </r>
    <r>
      <rPr>
        <sz val="9"/>
        <color theme="1"/>
        <rFont val="맑은 고딕"/>
        <family val="3"/>
        <charset val="128"/>
        <scheme val="minor"/>
      </rPr>
      <t>戦闘</t>
    </r>
    <r>
      <rPr>
        <sz val="9"/>
        <color theme="1"/>
        <rFont val="맑은 고딕"/>
        <family val="2"/>
        <charset val="129"/>
        <scheme val="minor"/>
      </rPr>
      <t>力 B</t>
    </r>
  </si>
  <si>
    <r>
      <t>攻</t>
    </r>
    <r>
      <rPr>
        <sz val="9"/>
        <color theme="1"/>
        <rFont val="맑은 고딕"/>
        <family val="3"/>
        <charset val="128"/>
        <scheme val="minor"/>
      </rPr>
      <t>撃</t>
    </r>
    <r>
      <rPr>
        <sz val="9"/>
        <color theme="1"/>
        <rFont val="맑은 고딕"/>
        <family val="2"/>
        <charset val="129"/>
        <scheme val="minor"/>
      </rPr>
      <t>力 134</t>
    </r>
  </si>
  <si>
    <r>
      <t>攻</t>
    </r>
    <r>
      <rPr>
        <sz val="9"/>
        <color theme="1"/>
        <rFont val="맑은 고딕"/>
        <family val="3"/>
        <charset val="128"/>
        <scheme val="minor"/>
      </rPr>
      <t>撃</t>
    </r>
    <r>
      <rPr>
        <sz val="9"/>
        <color theme="1"/>
        <rFont val="맑은 고딕"/>
        <family val="2"/>
        <charset val="129"/>
        <scheme val="minor"/>
      </rPr>
      <t>力 855</t>
    </r>
  </si>
  <si>
    <r>
      <t>振動特</t>
    </r>
    <r>
      <rPr>
        <sz val="9"/>
        <color theme="1"/>
        <rFont val="맑은 고딕"/>
        <family val="3"/>
        <charset val="128"/>
        <scheme val="minor"/>
      </rPr>
      <t>効</t>
    </r>
    <r>
      <rPr>
        <sz val="9"/>
        <color theme="1"/>
        <rFont val="맑은 고딕"/>
        <family val="2"/>
        <charset val="129"/>
        <scheme val="minor"/>
      </rPr>
      <t xml:space="preserve"> 10%</t>
    </r>
  </si>
  <si>
    <t xml:space="preserve"> HP 44302</t>
  </si>
  <si>
    <t>会心値 799</t>
  </si>
  <si>
    <r>
      <t>攻</t>
    </r>
    <r>
      <rPr>
        <sz val="9"/>
        <color theme="1"/>
        <rFont val="맑은 고딕"/>
        <family val="3"/>
        <charset val="128"/>
        <scheme val="minor"/>
      </rPr>
      <t>撃</t>
    </r>
    <r>
      <rPr>
        <sz val="9"/>
        <color theme="1"/>
        <rFont val="맑은 고딕"/>
        <family val="2"/>
        <charset val="129"/>
        <scheme val="minor"/>
      </rPr>
      <t>力 7665</t>
    </r>
  </si>
  <si>
    <t>会心ダメージ 245%</t>
  </si>
  <si>
    <t xml:space="preserve"> 振動特効 210%</t>
  </si>
  <si>
    <r>
      <t>市街地</t>
    </r>
    <r>
      <rPr>
        <sz val="9"/>
        <color theme="1"/>
        <rFont val="맑은 고딕"/>
        <family val="3"/>
        <charset val="128"/>
        <scheme val="minor"/>
      </rPr>
      <t>戦闘</t>
    </r>
    <r>
      <rPr>
        <sz val="9"/>
        <color theme="1"/>
        <rFont val="맑은 고딕"/>
        <family val="2"/>
        <charset val="129"/>
        <scheme val="minor"/>
      </rPr>
      <t>力 SS</t>
    </r>
  </si>
  <si>
    <r>
      <t>屋外</t>
    </r>
    <r>
      <rPr>
        <sz val="9"/>
        <color theme="1"/>
        <rFont val="맑은 고딕"/>
        <family val="3"/>
        <charset val="128"/>
        <scheme val="minor"/>
      </rPr>
      <t>戦闘</t>
    </r>
    <r>
      <rPr>
        <sz val="9"/>
        <color theme="1"/>
        <rFont val="맑은 고딕"/>
        <family val="2"/>
        <charset val="129"/>
        <scheme val="minor"/>
      </rPr>
      <t>力 B</t>
    </r>
  </si>
  <si>
    <r>
      <t>攻</t>
    </r>
    <r>
      <rPr>
        <sz val="9"/>
        <color theme="1"/>
        <rFont val="맑은 고딕"/>
        <family val="3"/>
        <charset val="128"/>
        <scheme val="minor"/>
      </rPr>
      <t>撃</t>
    </r>
    <r>
      <rPr>
        <sz val="9"/>
        <color theme="1"/>
        <rFont val="맑은 고딕"/>
        <family val="2"/>
        <charset val="129"/>
        <scheme val="minor"/>
      </rPr>
      <t>力207</t>
    </r>
  </si>
  <si>
    <t>最大HP9470</t>
  </si>
  <si>
    <t>≪모모톡A≫</t>
  </si>
  <si>
    <t>≪모모톡B≫</t>
  </si>
  <si>
    <t>★3 / 1레벨</t>
    <phoneticPr fontId="3" type="noConversion"/>
  </si>
  <si>
    <t>≪★3 / 1레벨≫</t>
  </si>
  <si>
    <t>≪고유무기 1레벨≫</t>
  </si>
  <si>
    <t>≪★5 / 90레벨≫</t>
  </si>
  <si>
    <r>
      <t>攻</t>
    </r>
    <r>
      <rPr>
        <sz val="9"/>
        <color theme="1"/>
        <rFont val="맑은 고딕"/>
        <family val="3"/>
        <charset val="128"/>
        <scheme val="minor"/>
      </rPr>
      <t>撃</t>
    </r>
    <r>
      <rPr>
        <sz val="9"/>
        <color theme="1"/>
        <rFont val="맑은 고딕"/>
        <family val="2"/>
        <charset val="129"/>
        <scheme val="minor"/>
      </rPr>
      <t>力2107</t>
    </r>
  </si>
  <si>
    <t>≪END≫</t>
  </si>
  <si>
    <t>1열</t>
    <phoneticPr fontId="3" type="noConversion"/>
  </si>
  <si>
    <t>2열</t>
    <phoneticPr fontId="3" type="noConversion"/>
  </si>
  <si>
    <t>3열</t>
    <phoneticPr fontId="3" type="noConversion"/>
  </si>
  <si>
    <t>데이터 묶음</t>
    <phoneticPr fontId="3" type="noConversion"/>
  </si>
  <si>
    <t>학생</t>
    <phoneticPr fontId="3" type="noConversion"/>
  </si>
  <si>
    <t>1(고구마)</t>
    <phoneticPr fontId="3" type="noConversion"/>
  </si>
  <si>
    <t>★5 / 90레벨</t>
    <phoneticPr fontId="3" type="noConversion"/>
  </si>
  <si>
    <t>고유무기 1레벨</t>
    <phoneticPr fontId="3" type="noConversion"/>
  </si>
  <si>
    <t>요청사항</t>
    <phoneticPr fontId="3" type="noConversion"/>
  </si>
  <si>
    <t xml:space="preserve">사용자가 입력할 시트 </t>
    <phoneticPr fontId="3" type="noConversion"/>
  </si>
  <si>
    <t>데이터 처리</t>
    <phoneticPr fontId="3" type="noConversion"/>
  </si>
  <si>
    <t>시트명</t>
    <phoneticPr fontId="3" type="noConversion"/>
  </si>
  <si>
    <t>역할</t>
    <phoneticPr fontId="3" type="noConversion"/>
  </si>
  <si>
    <t>자동화 테스트를 위해, 사전에 사용자가 TC를 붙여넣는 곳
일본어 번역을 위한 로컬라이즈 데이터가 존재함 
(변경사항 발생 시 사용자가 즉각적으로 유지보수 할 수 있도록, 사용자 관리용 시트에 위치)</t>
    <phoneticPr fontId="3" type="noConversion"/>
  </si>
  <si>
    <t>시트 설명</t>
    <phoneticPr fontId="3" type="noConversion"/>
  </si>
  <si>
    <t>No.</t>
    <phoneticPr fontId="3" type="noConversion"/>
  </si>
  <si>
    <t>자동화로 수집되는 데이터를 입력하고, 표 형식으로 출력하는 공간
중간중간 빈 행이 존재하는 TC 원본 양식과 달리, 수집된 데이터를 기반으로 출력하기 때문에 연속적인 데이터를 나열함</t>
    <phoneticPr fontId="3" type="noConversion"/>
  </si>
  <si>
    <t>[데이터 처리] 시트에서, 노란색 음영 표시된 표의 수식 완성
   ㄴ 요구사항 : 해당 시트 내 텍스트 박스 확인</t>
    <phoneticPr fontId="3" type="noConversion"/>
  </si>
  <si>
    <t>1, 2 시트의 표 양식이 서로 다른데,
두 개의 표 데이터를 비교하고 시각적으로 차이를 확인할 수 있도록
2 시트의 표를 1시트의 표와 동일한 양식으로 생성</t>
    <phoneticPr fontId="3" type="noConversion"/>
  </si>
  <si>
    <t>학생1</t>
  </si>
  <si>
    <t>학생4</t>
  </si>
  <si>
    <t>학생5</t>
  </si>
  <si>
    <t>학생6</t>
  </si>
  <si>
    <t>학생7</t>
  </si>
  <si>
    <t>학생8</t>
  </si>
  <si>
    <t>학생9</t>
  </si>
  <si>
    <t>학생10</t>
  </si>
  <si>
    <t>≪모모톡_학생 이름≫</t>
    <phoneticPr fontId="3" type="noConversion"/>
  </si>
  <si>
    <t>고유무기 스탯</t>
  </si>
  <si>
    <t>인연 스탯 랭크 50</t>
  </si>
  <si>
    <t>最大コスト増加 0</t>
  </si>
  <si>
    <r>
      <t>会</t>
    </r>
    <r>
      <rPr>
        <sz val="9"/>
        <color theme="1"/>
        <rFont val="맑은 고딕"/>
        <family val="2"/>
        <charset val="129"/>
        <scheme val="minor"/>
      </rPr>
      <t>心値 799</t>
    </r>
  </si>
  <si>
    <r>
      <t>会</t>
    </r>
    <r>
      <rPr>
        <sz val="9"/>
        <color theme="1"/>
        <rFont val="맑은 고딕"/>
        <family val="2"/>
        <charset val="129"/>
        <scheme val="minor"/>
      </rPr>
      <t>心ダメ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ジ 245%</t>
    </r>
  </si>
  <si>
    <t>攻撃力 134</t>
  </si>
  <si>
    <t>≪모모톡_イズナ (水着)≫</t>
  </si>
  <si>
    <t>≪모모톡_イズナ≫</t>
  </si>
  <si>
    <t>a</t>
    <phoneticPr fontId="3" type="noConversion"/>
  </si>
  <si>
    <t>학생1</t>
    <phoneticPr fontId="3" type="noConversion"/>
  </si>
  <si>
    <t>≪★3 / 1레벨≫</t>
    <phoneticPr fontId="3" type="noConversion"/>
  </si>
  <si>
    <t>≪★5 / 90레벨≫</t>
    <phoneticPr fontId="3" type="noConversion"/>
  </si>
  <si>
    <t>≪고유무기 1레벨≫</t>
    <phoneticPr fontId="3" type="noConversion"/>
  </si>
  <si>
    <t>≪고유무기 만렙≫</t>
    <phoneticPr fontId="3" type="noConversion"/>
  </si>
  <si>
    <t>≪모모톡_イズナ (水着)≫</t>
    <phoneticPr fontId="3" type="noConversion"/>
  </si>
  <si>
    <t>≪모모톡_イズナ≫</t>
    <phoneticPr fontId="3" type="noConversion"/>
  </si>
  <si>
    <t>학생2</t>
    <phoneticPr fontId="3" type="noConversion"/>
  </si>
  <si>
    <t>학생3</t>
    <phoneticPr fontId="3" type="noConversion"/>
  </si>
  <si>
    <t>학생4</t>
    <phoneticPr fontId="3" type="noConversion"/>
  </si>
  <si>
    <t>≪모모톡A≫</t>
    <phoneticPr fontId="3" type="noConversion"/>
  </si>
  <si>
    <t>≪모모톡B≫</t>
    <phoneticPr fontId="3" type="noConversion"/>
  </si>
  <si>
    <t>학생5</t>
    <phoneticPr fontId="3" type="noConversion"/>
  </si>
  <si>
    <t>학생6</t>
    <phoneticPr fontId="3" type="noConversion"/>
  </si>
  <si>
    <t>학생7</t>
    <phoneticPr fontId="3" type="noConversion"/>
  </si>
  <si>
    <t>학생8</t>
    <phoneticPr fontId="3" type="noConversion"/>
  </si>
  <si>
    <t>학생9</t>
    <phoneticPr fontId="3" type="noConversion"/>
  </si>
  <si>
    <t>학생10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</si>
</sst>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31"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b/>
      <sz val="15"/>
      <color theme="0"/>
      <name val="맑은 고딕"/>
      <family val="2"/>
      <charset val="129"/>
      <scheme val="minor"/>
    </font>
    <font>
      <sz val="9"/>
      <color theme="1"/>
      <name val="맑은 고딕"/>
      <family val="3"/>
    </font>
    <font>
      <sz val="9"/>
      <color rgb="FF000000"/>
      <name val="맑은 고딕"/>
      <family val="3"/>
    </font>
    <font>
      <sz val="9"/>
      <color theme="1"/>
      <name val="맑은 고딕"/>
      <family val="3"/>
      <charset val="129"/>
    </font>
    <font>
      <sz val="10"/>
      <color theme="1"/>
      <name val="새굴림"/>
      <family val="1"/>
      <charset val="129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8"/>
      <scheme val="major"/>
    </font>
    <font>
      <b/>
      <sz val="11"/>
      <color theme="1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</font>
    <font>
      <sz val="9"/>
      <color theme="1"/>
      <name val="맑은 고딕"/>
      <family val="3"/>
      <charset val="128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8"/>
      <scheme val="minor"/>
    </font>
    <font>
      <sz val="1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5"/>
      <color theme="0"/>
      <name val="맑은 고딕"/>
      <family val="3"/>
      <charset val="129"/>
      <scheme val="minor"/>
    </font>
    <font>
      <sz val="15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rgb="FFD8D8D8"/>
      </patternFill>
    </fill>
    <fill>
      <patternFill patternType="solid">
        <fgColor theme="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89999084444715716"/>
        <bgColor rgb="FFD8D8D8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/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/>
      <diagonal/>
    </border>
    <border>
      <left style="dotted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dotted">
        <color rgb="FF000000"/>
      </left>
      <right/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/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ck">
        <color theme="4"/>
      </bottom>
      <diagonal/>
    </border>
    <border>
      <left/>
      <right style="thin">
        <color auto="1"/>
      </right>
      <top style="thin">
        <color auto="1"/>
      </top>
      <bottom style="thick">
        <color theme="4"/>
      </bottom>
      <diagonal/>
    </border>
    <border>
      <left/>
      <right style="dotted">
        <color rgb="FF000000"/>
      </right>
      <top style="thin">
        <color rgb="FF000000"/>
      </top>
      <bottom/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4"/>
      </bottom>
      <diagonal/>
    </border>
    <border>
      <left style="dotted">
        <color rgb="FF000000"/>
      </left>
      <right style="thin">
        <color indexed="64"/>
      </right>
      <top style="thick">
        <color theme="4"/>
      </top>
      <bottom style="thin">
        <color indexed="64"/>
      </bottom>
      <diagonal/>
    </border>
    <border>
      <left/>
      <right style="thin">
        <color indexed="64"/>
      </right>
      <top style="thick">
        <color theme="4"/>
      </top>
      <bottom style="thin">
        <color indexed="64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/>
      <diagonal/>
    </border>
  </borders>
  <cellStyleXfs count="14">
    <xf numFmtId="0" fontId="0" fillId="0" borderId="0">
      <alignment vertical="center"/>
    </xf>
    <xf numFmtId="0" fontId="1" fillId="0" borderId="1">
      <alignment vertical="center"/>
    </xf>
    <xf numFmtId="0" fontId="7" fillId="0" borderId="0"/>
    <xf numFmtId="0" fontId="10" fillId="0" borderId="0"/>
    <xf numFmtId="0" fontId="10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23" fillId="0" borderId="0">
      <alignment vertical="center"/>
    </xf>
    <xf numFmtId="42" fontId="23" fillId="0" borderId="0">
      <alignment vertical="center"/>
    </xf>
    <xf numFmtId="9" fontId="23" fillId="0" borderId="0">
      <alignment vertical="center"/>
    </xf>
    <xf numFmtId="0" fontId="23" fillId="0" borderId="0">
      <alignment vertical="center"/>
    </xf>
  </cellStyleXfs>
  <cellXfs count="128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quotePrefix="1" applyFont="1" applyAlignment="1" applyProtection="1">
      <alignment horizontal="center" vertical="center"/>
      <protection locked="0"/>
    </xf>
    <xf numFmtId="0" fontId="5" fillId="0" borderId="0" xfId="0" applyFont="1" applyProtection="1">
      <alignment vertical="center"/>
      <protection locked="0"/>
    </xf>
    <xf numFmtId="0" fontId="8" fillId="2" borderId="2" xfId="2" applyFont="1" applyFill="1" applyBorder="1" applyAlignment="1">
      <alignment horizontal="center" vertical="center" wrapText="1"/>
    </xf>
    <xf numFmtId="0" fontId="9" fillId="0" borderId="6" xfId="2" quotePrefix="1" applyFont="1" applyBorder="1" applyAlignment="1">
      <alignment horizontal="center" vertical="center" wrapText="1"/>
    </xf>
    <xf numFmtId="0" fontId="9" fillId="0" borderId="8" xfId="2" quotePrefix="1" applyFont="1" applyBorder="1" applyAlignment="1">
      <alignment horizontal="center" vertical="center" wrapText="1"/>
    </xf>
    <xf numFmtId="0" fontId="9" fillId="0" borderId="8" xfId="2" applyFont="1" applyBorder="1" applyAlignment="1">
      <alignment horizontal="center" vertical="center" wrapText="1"/>
    </xf>
    <xf numFmtId="0" fontId="9" fillId="0" borderId="10" xfId="2" quotePrefix="1" applyFont="1" applyBorder="1" applyAlignment="1">
      <alignment vertical="center" wrapText="1"/>
    </xf>
    <xf numFmtId="0" fontId="8" fillId="2" borderId="3" xfId="2" applyFont="1" applyFill="1" applyBorder="1" applyAlignment="1">
      <alignment horizontal="center" vertical="center" wrapText="1"/>
    </xf>
    <xf numFmtId="0" fontId="12" fillId="0" borderId="6" xfId="2" applyFont="1" applyBorder="1" applyAlignment="1">
      <alignment horizontal="center" vertical="center" wrapText="1"/>
    </xf>
    <xf numFmtId="0" fontId="13" fillId="0" borderId="6" xfId="2" applyFont="1" applyBorder="1" applyAlignment="1">
      <alignment horizontal="center" vertical="center" wrapText="1"/>
    </xf>
    <xf numFmtId="0" fontId="13" fillId="0" borderId="6" xfId="2" quotePrefix="1" applyFont="1" applyBorder="1" applyAlignment="1">
      <alignment horizontal="center" vertical="center" wrapText="1"/>
    </xf>
    <xf numFmtId="0" fontId="13" fillId="0" borderId="14" xfId="2" applyFont="1" applyBorder="1" applyAlignment="1">
      <alignment horizontal="center" vertical="center" wrapText="1"/>
    </xf>
    <xf numFmtId="0" fontId="13" fillId="0" borderId="15" xfId="2" applyFont="1" applyBorder="1" applyAlignment="1">
      <alignment horizontal="center" vertical="center" wrapText="1"/>
    </xf>
    <xf numFmtId="0" fontId="9" fillId="4" borderId="8" xfId="2" quotePrefix="1" applyFont="1" applyFill="1" applyBorder="1" applyAlignment="1">
      <alignment horizontal="center" vertical="center" wrapText="1"/>
    </xf>
    <xf numFmtId="0" fontId="9" fillId="4" borderId="8" xfId="2" applyFont="1" applyFill="1" applyBorder="1" applyAlignment="1">
      <alignment horizontal="center" vertical="center" wrapText="1"/>
    </xf>
    <xf numFmtId="0" fontId="13" fillId="4" borderId="8" xfId="2" applyFont="1" applyFill="1" applyBorder="1" applyAlignment="1">
      <alignment horizontal="center" vertical="center" wrapText="1"/>
    </xf>
    <xf numFmtId="0" fontId="13" fillId="4" borderId="17" xfId="2" applyFont="1" applyFill="1" applyBorder="1" applyAlignment="1">
      <alignment horizontal="center" vertical="center" wrapText="1"/>
    </xf>
    <xf numFmtId="0" fontId="9" fillId="4" borderId="18" xfId="2" applyFont="1" applyFill="1" applyBorder="1" applyAlignment="1">
      <alignment horizontal="center" vertical="center" wrapText="1"/>
    </xf>
    <xf numFmtId="0" fontId="14" fillId="0" borderId="8" xfId="2" applyFont="1" applyBorder="1" applyAlignment="1">
      <alignment horizontal="center" vertical="center" wrapText="1"/>
    </xf>
    <xf numFmtId="0" fontId="13" fillId="0" borderId="8" xfId="2" quotePrefix="1" applyFont="1" applyBorder="1" applyAlignment="1">
      <alignment horizontal="center" vertical="center" wrapText="1"/>
    </xf>
    <xf numFmtId="0" fontId="13" fillId="0" borderId="8" xfId="2" applyFont="1" applyBorder="1" applyAlignment="1">
      <alignment horizontal="center" vertical="center" wrapText="1"/>
    </xf>
    <xf numFmtId="0" fontId="13" fillId="0" borderId="17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14" fillId="4" borderId="8" xfId="2" applyFont="1" applyFill="1" applyBorder="1" applyAlignment="1">
      <alignment horizontal="center" vertical="center" wrapText="1"/>
    </xf>
    <xf numFmtId="0" fontId="13" fillId="0" borderId="17" xfId="2" quotePrefix="1" applyFont="1" applyBorder="1" applyAlignment="1">
      <alignment horizontal="center" vertical="center" wrapText="1"/>
    </xf>
    <xf numFmtId="0" fontId="9" fillId="0" borderId="18" xfId="2" quotePrefix="1" applyFont="1" applyBorder="1" applyAlignment="1">
      <alignment horizontal="center" vertical="center" wrapText="1"/>
    </xf>
    <xf numFmtId="0" fontId="13" fillId="4" borderId="8" xfId="2" quotePrefix="1" applyFont="1" applyFill="1" applyBorder="1" applyAlignment="1">
      <alignment horizontal="center" vertical="center" wrapText="1"/>
    </xf>
    <xf numFmtId="0" fontId="13" fillId="4" borderId="17" xfId="2" quotePrefix="1" applyFont="1" applyFill="1" applyBorder="1" applyAlignment="1">
      <alignment horizontal="center" vertical="center" wrapText="1"/>
    </xf>
    <xf numFmtId="0" fontId="9" fillId="4" borderId="18" xfId="2" quotePrefix="1" applyFont="1" applyFill="1" applyBorder="1" applyAlignment="1">
      <alignment horizontal="center" vertical="center" wrapText="1"/>
    </xf>
    <xf numFmtId="0" fontId="9" fillId="0" borderId="20" xfId="2" quotePrefix="1" applyFont="1" applyBorder="1" applyAlignment="1">
      <alignment vertical="center" wrapText="1"/>
    </xf>
    <xf numFmtId="0" fontId="9" fillId="0" borderId="12" xfId="2" quotePrefix="1" applyFont="1" applyBorder="1" applyAlignment="1">
      <alignment horizontal="center" vertical="center" wrapText="1"/>
    </xf>
    <xf numFmtId="0" fontId="9" fillId="0" borderId="12" xfId="2" applyFont="1" applyBorder="1" applyAlignment="1">
      <alignment horizontal="center" vertical="center" wrapText="1"/>
    </xf>
    <xf numFmtId="0" fontId="13" fillId="0" borderId="12" xfId="2" quotePrefix="1" applyFont="1" applyBorder="1" applyAlignment="1">
      <alignment horizontal="center" vertical="center" wrapText="1"/>
    </xf>
    <xf numFmtId="0" fontId="13" fillId="0" borderId="12" xfId="2" applyFont="1" applyBorder="1" applyAlignment="1">
      <alignment horizontal="center" vertical="center" wrapText="1"/>
    </xf>
    <xf numFmtId="0" fontId="13" fillId="0" borderId="21" xfId="2" applyFont="1" applyBorder="1" applyAlignment="1">
      <alignment horizontal="center" vertical="center" wrapText="1"/>
    </xf>
    <xf numFmtId="0" fontId="9" fillId="0" borderId="22" xfId="2" applyFont="1" applyBorder="1" applyAlignment="1">
      <alignment horizontal="center" vertical="center" wrapText="1"/>
    </xf>
    <xf numFmtId="0" fontId="8" fillId="2" borderId="4" xfId="2" applyFont="1" applyFill="1" applyBorder="1" applyAlignment="1">
      <alignment horizontal="center" vertical="center" wrapText="1"/>
    </xf>
    <xf numFmtId="0" fontId="8" fillId="2" borderId="13" xfId="2" applyFont="1" applyFill="1" applyBorder="1" applyAlignment="1">
      <alignment horizontal="center" vertical="center" wrapText="1"/>
    </xf>
    <xf numFmtId="0" fontId="19" fillId="0" borderId="0" xfId="0" applyFont="1" applyProtection="1">
      <alignment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8" fillId="10" borderId="30" xfId="2" applyFont="1" applyFill="1" applyBorder="1" applyAlignment="1" applyProtection="1">
      <alignment horizontal="center" vertical="center" wrapText="1"/>
      <protection locked="0"/>
    </xf>
    <xf numFmtId="0" fontId="8" fillId="10" borderId="29" xfId="2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20" fillId="8" borderId="5" xfId="0" applyFont="1" applyFill="1" applyBorder="1" applyAlignment="1" applyProtection="1">
      <alignment horizontal="center" vertical="center" wrapText="1"/>
      <protection locked="0"/>
    </xf>
    <xf numFmtId="0" fontId="21" fillId="8" borderId="5" xfId="0" applyFont="1" applyFill="1" applyBorder="1" applyAlignment="1" applyProtection="1">
      <alignment horizontal="center" vertical="center" wrapText="1"/>
      <protection locked="0"/>
    </xf>
    <xf numFmtId="0" fontId="17" fillId="0" borderId="5" xfId="0" applyFont="1" applyBorder="1" applyAlignment="1" applyProtection="1">
      <alignment horizontal="center" vertical="center" wrapText="1"/>
      <protection locked="0"/>
    </xf>
    <xf numFmtId="0" fontId="16" fillId="0" borderId="5" xfId="0" applyFont="1" applyBorder="1" applyAlignment="1" applyProtection="1">
      <alignment horizontal="center" vertical="center" wrapText="1"/>
      <protection locked="0"/>
    </xf>
    <xf numFmtId="0" fontId="18" fillId="0" borderId="5" xfId="0" applyFont="1" applyBorder="1" applyAlignment="1" applyProtection="1">
      <alignment horizontal="center" vertical="center" wrapText="1"/>
      <protection locked="0"/>
    </xf>
    <xf numFmtId="0" fontId="6" fillId="0" borderId="0" xfId="0" applyFont="1" applyProtection="1">
      <alignment vertical="center"/>
      <protection locked="0"/>
    </xf>
    <xf numFmtId="0" fontId="15" fillId="0" borderId="0" xfId="0" applyFont="1" applyProtection="1">
      <alignment vertical="center"/>
      <protection locked="0"/>
    </xf>
    <xf numFmtId="0" fontId="5" fillId="0" borderId="0" xfId="0" applyFont="1" applyAlignment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0" fontId="0" fillId="5" borderId="0" xfId="0" applyFill="1" applyProtection="1">
      <alignment vertical="center"/>
      <protection locked="0"/>
    </xf>
    <xf numFmtId="0" fontId="5" fillId="5" borderId="0" xfId="0" applyFont="1" applyFill="1" applyAlignment="1">
      <alignment horizontal="center" vertical="center"/>
    </xf>
    <xf numFmtId="0" fontId="13" fillId="3" borderId="6" xfId="2" applyFont="1" applyFill="1" applyBorder="1" applyAlignment="1">
      <alignment horizontal="center" vertical="center" wrapText="1"/>
    </xf>
    <xf numFmtId="0" fontId="13" fillId="4" borderId="18" xfId="2" applyFont="1" applyFill="1" applyBorder="1" applyAlignment="1">
      <alignment horizontal="center" vertical="center" wrapText="1"/>
    </xf>
    <xf numFmtId="0" fontId="13" fillId="0" borderId="18" xfId="2" applyFont="1" applyBorder="1" applyAlignment="1">
      <alignment horizontal="center" vertical="center" wrapText="1"/>
    </xf>
    <xf numFmtId="0" fontId="13" fillId="0" borderId="10" xfId="2" quotePrefix="1" applyFont="1" applyBorder="1" applyAlignment="1">
      <alignment vertical="center" wrapText="1"/>
    </xf>
    <xf numFmtId="0" fontId="13" fillId="0" borderId="18" xfId="2" quotePrefix="1" applyFont="1" applyBorder="1" applyAlignment="1">
      <alignment horizontal="center" vertical="center" wrapText="1"/>
    </xf>
    <xf numFmtId="0" fontId="13" fillId="4" borderId="18" xfId="2" quotePrefix="1" applyFont="1" applyFill="1" applyBorder="1" applyAlignment="1">
      <alignment horizontal="center" vertical="center" wrapText="1"/>
    </xf>
    <xf numFmtId="0" fontId="13" fillId="0" borderId="20" xfId="2" quotePrefix="1" applyFont="1" applyBorder="1" applyAlignment="1">
      <alignment vertical="center" wrapText="1"/>
    </xf>
    <xf numFmtId="0" fontId="13" fillId="0" borderId="22" xfId="2" applyFont="1" applyBorder="1" applyAlignment="1">
      <alignment horizontal="center" vertical="center" wrapText="1"/>
    </xf>
    <xf numFmtId="0" fontId="6" fillId="5" borderId="5" xfId="0" applyFont="1" applyFill="1" applyBorder="1" applyAlignment="1" applyProtection="1">
      <alignment horizontal="center" vertical="center"/>
      <protection locked="0"/>
    </xf>
    <xf numFmtId="0" fontId="4" fillId="5" borderId="0" xfId="0" quotePrefix="1" applyFont="1" applyFill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22" fillId="5" borderId="0" xfId="0" applyFont="1" applyFill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0" fontId="4" fillId="11" borderId="0" xfId="0" applyFont="1" applyFill="1" applyAlignment="1" applyProtection="1">
      <alignment horizontal="center" vertical="center"/>
      <protection locked="0"/>
    </xf>
    <xf numFmtId="0" fontId="5" fillId="12" borderId="0" xfId="0" applyFont="1" applyFill="1" applyAlignment="1" applyProtection="1">
      <alignment horizontal="center" vertical="center"/>
      <protection locked="0"/>
    </xf>
    <xf numFmtId="0" fontId="4" fillId="12" borderId="0" xfId="0" applyFont="1" applyFill="1" applyAlignment="1" applyProtection="1">
      <alignment horizontal="center" vertical="center"/>
      <protection locked="0"/>
    </xf>
    <xf numFmtId="0" fontId="25" fillId="0" borderId="0" xfId="0" applyFo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3" fillId="0" borderId="31" xfId="2" quotePrefix="1" applyFont="1" applyBorder="1" applyAlignment="1">
      <alignment vertical="center" wrapText="1"/>
    </xf>
    <xf numFmtId="0" fontId="13" fillId="4" borderId="11" xfId="2" quotePrefix="1" applyFont="1" applyFill="1" applyBorder="1" applyAlignment="1">
      <alignment horizontal="center" vertical="center" wrapText="1"/>
    </xf>
    <xf numFmtId="0" fontId="13" fillId="4" borderId="11" xfId="2" applyFont="1" applyFill="1" applyBorder="1" applyAlignment="1">
      <alignment horizontal="center" vertical="center" wrapText="1"/>
    </xf>
    <xf numFmtId="0" fontId="13" fillId="4" borderId="32" xfId="2" quotePrefix="1" applyFont="1" applyFill="1" applyBorder="1" applyAlignment="1">
      <alignment horizontal="center" vertical="center" wrapText="1"/>
    </xf>
    <xf numFmtId="0" fontId="13" fillId="4" borderId="33" xfId="2" quotePrefix="1" applyFont="1" applyFill="1" applyBorder="1" applyAlignment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center" vertical="center" wrapText="1"/>
      <protection locked="0"/>
    </xf>
    <xf numFmtId="0" fontId="24" fillId="5" borderId="0" xfId="0" applyFont="1" applyFill="1">
      <alignment vertical="center"/>
    </xf>
    <xf numFmtId="0" fontId="13" fillId="0" borderId="16" xfId="2" quotePrefix="1" applyFont="1" applyBorder="1" applyAlignment="1">
      <alignment vertical="center" wrapText="1"/>
    </xf>
    <xf numFmtId="0" fontId="4" fillId="0" borderId="0" xfId="0" applyFont="1">
      <alignment vertical="center"/>
    </xf>
    <xf numFmtId="0" fontId="6" fillId="12" borderId="5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vertical="center" wrapText="1"/>
    </xf>
    <xf numFmtId="0" fontId="5" fillId="0" borderId="0" xfId="0" applyFont="1" applyAlignment="1">
      <alignment horizontal="left" vertical="center"/>
    </xf>
    <xf numFmtId="0" fontId="30" fillId="13" borderId="0" xfId="0" applyFont="1" applyFill="1" applyAlignment="1" applyProtection="1">
      <alignment horizontal="center" vertical="center"/>
      <protection locked="0"/>
    </xf>
    <xf numFmtId="0" fontId="13" fillId="13" borderId="19" xfId="2" quotePrefix="1" applyFont="1" applyFill="1" applyBorder="1" applyAlignment="1">
      <alignment horizontal="center" vertical="center" wrapText="1"/>
    </xf>
    <xf numFmtId="0" fontId="29" fillId="0" borderId="25" xfId="0" applyFont="1" applyBorder="1" applyAlignment="1" applyProtection="1">
      <alignment horizontal="center"/>
      <protection locked="0"/>
    </xf>
    <xf numFmtId="0" fontId="8" fillId="6" borderId="30" xfId="2" applyFont="1" applyFill="1" applyBorder="1" applyAlignment="1" applyProtection="1">
      <alignment horizontal="center" vertical="center" wrapText="1"/>
      <protection locked="0"/>
    </xf>
    <xf numFmtId="0" fontId="1" fillId="0" borderId="0" xfId="1" applyBorder="1" applyAlignment="1">
      <alignment horizontal="left" vertical="center"/>
    </xf>
    <xf numFmtId="0" fontId="5" fillId="0" borderId="5" xfId="0" quotePrefix="1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/>
    </xf>
    <xf numFmtId="0" fontId="13" fillId="13" borderId="11" xfId="2" quotePrefix="1" applyFont="1" applyFill="1" applyBorder="1" applyAlignment="1">
      <alignment horizontal="center" vertical="center" wrapText="1"/>
    </xf>
    <xf numFmtId="0" fontId="13" fillId="13" borderId="19" xfId="2" quotePrefix="1" applyFont="1" applyFill="1" applyBorder="1" applyAlignment="1">
      <alignment horizontal="center" vertical="center" wrapText="1"/>
    </xf>
    <xf numFmtId="0" fontId="13" fillId="0" borderId="6" xfId="2" quotePrefix="1" applyFont="1" applyBorder="1" applyAlignment="1">
      <alignment horizontal="center" vertical="center" wrapText="1"/>
    </xf>
    <xf numFmtId="0" fontId="0" fillId="0" borderId="16" xfId="0" applyBorder="1" applyAlignment="1"/>
    <xf numFmtId="0" fontId="13" fillId="0" borderId="8" xfId="2" quotePrefix="1" applyFont="1" applyBorder="1" applyAlignment="1">
      <alignment horizontal="center" vertical="center" wrapText="1"/>
    </xf>
    <xf numFmtId="0" fontId="13" fillId="13" borderId="8" xfId="2" quotePrefix="1" applyFont="1" applyFill="1" applyBorder="1" applyAlignment="1">
      <alignment horizontal="center" vertical="center" wrapText="1"/>
    </xf>
    <xf numFmtId="0" fontId="0" fillId="13" borderId="19" xfId="0" applyFill="1" applyBorder="1" applyAlignment="1"/>
    <xf numFmtId="0" fontId="0" fillId="13" borderId="16" xfId="0" applyFill="1" applyBorder="1" applyAlignment="1"/>
    <xf numFmtId="0" fontId="11" fillId="7" borderId="28" xfId="1" applyFont="1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protection locked="0"/>
    </xf>
    <xf numFmtId="0" fontId="0" fillId="0" borderId="25" xfId="0" applyBorder="1" applyAlignment="1" applyProtection="1">
      <protection locked="0"/>
    </xf>
    <xf numFmtId="0" fontId="8" fillId="2" borderId="3" xfId="2" applyFont="1" applyFill="1" applyBorder="1" applyAlignment="1">
      <alignment horizontal="center" vertical="center" wrapText="1"/>
    </xf>
    <xf numFmtId="0" fontId="0" fillId="0" borderId="26" xfId="0" applyBorder="1" applyAlignment="1"/>
    <xf numFmtId="0" fontId="9" fillId="0" borderId="27" xfId="2" quotePrefix="1" applyFont="1" applyBorder="1" applyAlignment="1">
      <alignment horizontal="center" vertical="center" wrapText="1"/>
    </xf>
    <xf numFmtId="0" fontId="0" fillId="0" borderId="7" xfId="0" applyBorder="1" applyAlignment="1"/>
    <xf numFmtId="0" fontId="0" fillId="0" borderId="9" xfId="0" applyBorder="1" applyAlignment="1"/>
    <xf numFmtId="0" fontId="9" fillId="0" borderId="6" xfId="2" quotePrefix="1" applyFont="1" applyBorder="1" applyAlignment="1">
      <alignment horizontal="center" vertical="center" wrapText="1"/>
    </xf>
    <xf numFmtId="0" fontId="6" fillId="0" borderId="0" xfId="0" applyFont="1" applyAlignment="1" applyProtection="1">
      <alignment horizontal="center" vertical="center"/>
      <protection locked="0"/>
    </xf>
    <xf numFmtId="0" fontId="13" fillId="0" borderId="27" xfId="2" quotePrefix="1" applyFont="1" applyBorder="1" applyAlignment="1">
      <alignment horizontal="center" vertical="center" wrapText="1"/>
    </xf>
    <xf numFmtId="0" fontId="9" fillId="0" borderId="8" xfId="2" quotePrefix="1" applyFont="1" applyBorder="1" applyAlignment="1">
      <alignment horizontal="center" vertical="center" wrapText="1"/>
    </xf>
    <xf numFmtId="0" fontId="9" fillId="13" borderId="8" xfId="2" quotePrefix="1" applyFont="1" applyFill="1" applyBorder="1" applyAlignment="1">
      <alignment horizontal="center" vertical="center" wrapText="1"/>
    </xf>
    <xf numFmtId="0" fontId="1" fillId="0" borderId="1" xfId="1" applyAlignment="1">
      <alignment horizontal="center" vertical="center"/>
    </xf>
    <xf numFmtId="0" fontId="0" fillId="0" borderId="1" xfId="0" applyBorder="1" applyAlignment="1"/>
    <xf numFmtId="0" fontId="6" fillId="11" borderId="5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protection locked="0"/>
    </xf>
    <xf numFmtId="0" fontId="6" fillId="12" borderId="5" xfId="0" applyFont="1" applyFill="1" applyBorder="1" applyAlignment="1" applyProtection="1">
      <alignment horizontal="center" vertical="center"/>
      <protection locked="0"/>
    </xf>
    <xf numFmtId="0" fontId="28" fillId="9" borderId="25" xfId="1" applyFont="1" applyFill="1" applyBorder="1" applyAlignment="1" applyProtection="1">
      <alignment horizontal="center" vertical="center"/>
      <protection locked="0"/>
    </xf>
    <xf numFmtId="0" fontId="29" fillId="0" borderId="24" xfId="0" applyFont="1" applyBorder="1" applyAlignment="1" applyProtection="1">
      <alignment horizontal="center"/>
      <protection locked="0"/>
    </xf>
    <xf numFmtId="0" fontId="29" fillId="0" borderId="25" xfId="0" applyFont="1" applyBorder="1" applyAlignment="1" applyProtection="1">
      <alignment horizontal="center"/>
      <protection locked="0"/>
    </xf>
    <xf numFmtId="0" fontId="28" fillId="7" borderId="28" xfId="1" applyFont="1" applyFill="1" applyBorder="1" applyAlignment="1" applyProtection="1">
      <alignment horizontal="center" vertical="center"/>
      <protection locked="0"/>
    </xf>
  </cellXfs>
  <cellStyles count="14">
    <cellStyle name="Hyperlink" xfId="7" xr:uid="{00000000-0005-0000-0000-000007000000}"/>
    <cellStyle name="백분율 2 2 2" xfId="12" xr:uid="{00000000-0005-0000-0000-00000C000000}"/>
    <cellStyle name="쉼표 [0] 2" xfId="10" xr:uid="{00000000-0005-0000-0000-00000A000000}"/>
    <cellStyle name="제목 1" xfId="1" builtinId="16"/>
    <cellStyle name="통화 [0] 2" xfId="11" xr:uid="{00000000-0005-0000-0000-00000B000000}"/>
    <cellStyle name="표준" xfId="0" builtinId="0"/>
    <cellStyle name="표준 2 2" xfId="3" xr:uid="{00000000-0005-0000-0000-000003000000}"/>
    <cellStyle name="표준 2 2 2" xfId="4" xr:uid="{00000000-0005-0000-0000-000004000000}"/>
    <cellStyle name="표준 2 2 2 2" xfId="9" xr:uid="{00000000-0005-0000-0000-000009000000}"/>
    <cellStyle name="표준 2 2 2 3" xfId="8" xr:uid="{00000000-0005-0000-0000-000008000000}"/>
    <cellStyle name="표준 2 2 7" xfId="13" xr:uid="{00000000-0005-0000-0000-00000D000000}"/>
    <cellStyle name="표준 3" xfId="2" xr:uid="{00000000-0005-0000-0000-000002000000}"/>
    <cellStyle name="하이퍼링크 2" xfId="5" xr:uid="{00000000-0005-0000-0000-000005000000}"/>
    <cellStyle name="하이퍼링크 3" xfId="6" xr:uid="{00000000-0005-0000-0000-000006000000}"/>
  </cellStyles>
  <dxfs count="4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161925</xdr:colOff>
      <xdr:row>3</xdr:row>
      <xdr:rowOff>19050</xdr:rowOff>
    </xdr:from>
    <xdr:to>
      <xdr:col>39</xdr:col>
      <xdr:colOff>647700</xdr:colOff>
      <xdr:row>17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EE9C2B8-5E3F-47B2-98FB-58472B0E1E18}"/>
            </a:ext>
          </a:extLst>
        </xdr:cNvPr>
        <xdr:cNvSpPr txBox="1"/>
      </xdr:nvSpPr>
      <xdr:spPr>
        <a:xfrm>
          <a:off x="19011900" y="762000"/>
          <a:ext cx="4600575" cy="2924175"/>
        </a:xfrm>
        <a:prstGeom prst="rect">
          <a:avLst/>
        </a:prstGeom>
        <a:ln w="5715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TC </a:t>
          </a:r>
          <a:r>
            <a:rPr lang="ko-KR" altLang="en-US" sz="1100"/>
            <a:t>원본 표 </a:t>
          </a:r>
          <a:r>
            <a:rPr lang="en-US" altLang="ko-KR" sz="1100"/>
            <a:t>: </a:t>
          </a:r>
        </a:p>
        <a:p>
          <a:r>
            <a:rPr lang="en-US" altLang="ko-KR" sz="1100"/>
            <a:t>I4</a:t>
          </a:r>
          <a:r>
            <a:rPr lang="ko-KR" altLang="en-US" sz="1100"/>
            <a:t>셀에 사용자가 원본 </a:t>
          </a:r>
          <a:r>
            <a:rPr lang="en-US" altLang="ko-KR" sz="1100"/>
            <a:t>TC</a:t>
          </a:r>
          <a:r>
            <a:rPr lang="ko-KR" altLang="en-US" sz="1100"/>
            <a:t>를 붙여넣을 것임</a:t>
          </a:r>
          <a:endParaRPr lang="en-US" altLang="ko-KR" sz="1100"/>
        </a:p>
        <a:p>
          <a:endParaRPr lang="en-US" altLang="ko-KR" sz="1100"/>
        </a:p>
        <a:p>
          <a:r>
            <a:rPr lang="ko-KR" altLang="en-US" sz="1100"/>
            <a:t>스탯 로컬라이즈 표 </a:t>
          </a:r>
          <a:r>
            <a:rPr lang="en-US" altLang="ko-KR" sz="1100"/>
            <a:t>: </a:t>
          </a:r>
        </a:p>
        <a:p>
          <a:r>
            <a:rPr lang="en-US" altLang="ko-KR" sz="1100"/>
            <a:t>'</a:t>
          </a:r>
          <a:r>
            <a:rPr lang="ko-KR" altLang="en-US" sz="1100"/>
            <a:t>데이터 처리</a:t>
          </a:r>
          <a:r>
            <a:rPr lang="en-US" altLang="ko-KR" sz="1100"/>
            <a:t>' </a:t>
          </a:r>
          <a:r>
            <a:rPr lang="ko-KR" altLang="en-US" sz="1100"/>
            <a:t>시트에서 </a:t>
          </a:r>
          <a:r>
            <a:rPr lang="en-US" altLang="ko-KR" sz="1100"/>
            <a:t>'</a:t>
          </a:r>
          <a:r>
            <a:rPr lang="ko-KR" altLang="en-US" sz="1100"/>
            <a:t>로컬라이징</a:t>
          </a:r>
          <a:r>
            <a:rPr lang="en-US" altLang="ko-KR" sz="1100"/>
            <a:t>'</a:t>
          </a:r>
          <a:r>
            <a:rPr lang="ko-KR" altLang="en-US" sz="1100" baseline="0"/>
            <a:t> 열의 데이터 처리를 위해 참조하는 표</a:t>
          </a:r>
          <a:endParaRPr lang="en-US" altLang="ko-KR" sz="1100" baseline="0"/>
        </a:p>
        <a:p>
          <a:endParaRPr lang="en-US" altLang="ko-KR" sz="1100"/>
        </a:p>
        <a:p>
          <a:r>
            <a:rPr lang="ko-KR" altLang="en-US" sz="1100">
              <a:solidFill>
                <a:schemeClr val="accent2"/>
              </a:solidFill>
            </a:rPr>
            <a:t>노란색 음영 </a:t>
          </a:r>
          <a:r>
            <a:rPr lang="en-US" altLang="ko-KR" sz="1100">
              <a:solidFill>
                <a:schemeClr val="accent2"/>
              </a:solidFill>
            </a:rPr>
            <a:t>'</a:t>
          </a:r>
          <a:r>
            <a:rPr lang="ko-KR" altLang="en-US" sz="1100">
              <a:solidFill>
                <a:schemeClr val="accent2"/>
              </a:solidFill>
            </a:rPr>
            <a:t>인연 스탯</a:t>
          </a:r>
          <a:r>
            <a:rPr lang="en-US" altLang="ko-KR" sz="1100">
              <a:solidFill>
                <a:schemeClr val="accent2"/>
              </a:solidFill>
            </a:rPr>
            <a:t>' </a:t>
          </a:r>
          <a:r>
            <a:rPr lang="ko-KR" altLang="en-US" sz="1100">
              <a:solidFill>
                <a:schemeClr val="accent2"/>
              </a:solidFill>
            </a:rPr>
            <a:t>데이터 처리 시 참고사항 </a:t>
          </a:r>
          <a:r>
            <a:rPr lang="en-US" altLang="ko-KR" sz="1100">
              <a:solidFill>
                <a:schemeClr val="accent2"/>
              </a:solidFill>
            </a:rPr>
            <a:t>:</a:t>
          </a:r>
        </a:p>
        <a:p>
          <a:r>
            <a:rPr lang="ko-KR" altLang="en-US" sz="1100"/>
            <a:t>인연 그룹 목록</a:t>
          </a:r>
          <a:r>
            <a:rPr lang="en-US" altLang="ko-KR" sz="1100"/>
            <a:t>(</a:t>
          </a:r>
          <a:r>
            <a:rPr lang="ko-KR" altLang="en-US" sz="1100"/>
            <a:t>노란 음영 셀 우측의 </a:t>
          </a:r>
          <a:r>
            <a:rPr lang="en-US" altLang="ko-KR" sz="1100"/>
            <a:t>K</a:t>
          </a:r>
          <a:r>
            <a:rPr lang="ko-KR" altLang="en-US" sz="1100"/>
            <a:t>열 범위</a:t>
          </a:r>
          <a:r>
            <a:rPr lang="en-US" altLang="ko-KR" sz="1100"/>
            <a:t>)</a:t>
          </a:r>
          <a:r>
            <a:rPr lang="ko-KR" altLang="en-US" sz="1100"/>
            <a:t>은 디폴트로 </a:t>
          </a:r>
          <a:r>
            <a:rPr lang="en-US" altLang="ko-KR" sz="1100"/>
            <a:t>3</a:t>
          </a:r>
          <a:r>
            <a:rPr lang="ko-KR" altLang="en-US" sz="1100"/>
            <a:t>행이 주어짐</a:t>
          </a:r>
          <a:endParaRPr lang="en-US" altLang="ko-KR" sz="1100"/>
        </a:p>
        <a:p>
          <a:r>
            <a:rPr lang="ko-KR" altLang="en-US" sz="1100"/>
            <a:t>각 행 안에는 데이터가 있을 수도 있고</a:t>
          </a:r>
          <a:r>
            <a:rPr lang="en-US" altLang="ko-KR" sz="1100"/>
            <a:t>, </a:t>
          </a:r>
          <a:r>
            <a:rPr lang="ko-KR" altLang="en-US" sz="1100"/>
            <a:t>일부 행은 비어있을 수 있음</a:t>
          </a:r>
          <a:r>
            <a:rPr lang="en-US" altLang="ko-KR" sz="1100" baseline="0"/>
            <a:t> (</a:t>
          </a:r>
          <a:r>
            <a:rPr lang="ko-KR" altLang="en-US" sz="1100" baseline="0"/>
            <a:t>최소 </a:t>
          </a:r>
          <a:r>
            <a:rPr lang="en-US" altLang="ko-KR" sz="1100" baseline="0"/>
            <a:t>1</a:t>
          </a:r>
          <a:r>
            <a:rPr lang="ko-KR" altLang="en-US" sz="1100" baseline="0"/>
            <a:t>개는 존재</a:t>
          </a:r>
          <a:r>
            <a:rPr lang="en-US" altLang="ko-KR" sz="1100" baseline="0"/>
            <a:t>)</a:t>
          </a:r>
        </a:p>
        <a:p>
          <a:r>
            <a:rPr lang="en-US" altLang="ko-KR" sz="1100"/>
            <a:t>4</a:t>
          </a:r>
          <a:r>
            <a:rPr lang="ko-KR" altLang="en-US" sz="1100"/>
            <a:t>행 이상으로 늘어나는 경우도 있음</a:t>
          </a:r>
          <a:endParaRPr lang="en-US" altLang="ko-KR" sz="1100"/>
        </a:p>
        <a:p>
          <a:endParaRPr lang="en-US" altLang="ko-K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19050</xdr:colOff>
      <xdr:row>18</xdr:row>
      <xdr:rowOff>76199</xdr:rowOff>
    </xdr:from>
    <xdr:to>
      <xdr:col>39</xdr:col>
      <xdr:colOff>400050</xdr:colOff>
      <xdr:row>31</xdr:row>
      <xdr:rowOff>180974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1AF3342-0A5B-37D8-62FC-4F5B022D8210}"/>
            </a:ext>
          </a:extLst>
        </xdr:cNvPr>
        <xdr:cNvSpPr txBox="1"/>
      </xdr:nvSpPr>
      <xdr:spPr>
        <a:xfrm>
          <a:off x="21936075" y="3876674"/>
          <a:ext cx="4600575" cy="3019425"/>
        </a:xfrm>
        <a:prstGeom prst="rect">
          <a:avLst/>
        </a:prstGeom>
        <a:ln w="5715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</a:t>
          </a:r>
          <a:r>
            <a:rPr lang="ko-KR" altLang="en-US" sz="1100"/>
            <a:t>열 </a:t>
          </a:r>
          <a:r>
            <a:rPr lang="en-US" altLang="ko-KR" sz="1100"/>
            <a:t>:</a:t>
          </a:r>
        </a:p>
        <a:p>
          <a:r>
            <a:rPr lang="ko-KR" altLang="en-US" sz="1100"/>
            <a:t>학생 구분값 넘버링 표기</a:t>
          </a:r>
          <a:endParaRPr lang="en-US" altLang="ko-KR" sz="1100"/>
        </a:p>
        <a:p>
          <a:endParaRPr lang="en-US" altLang="ko-KR" sz="1100"/>
        </a:p>
        <a:p>
          <a:r>
            <a:rPr lang="en-US" altLang="ko-KR" sz="1100"/>
            <a:t>2</a:t>
          </a:r>
          <a:r>
            <a:rPr lang="ko-KR" altLang="en-US" sz="1100"/>
            <a:t>열 </a:t>
          </a:r>
          <a:r>
            <a:rPr lang="en-US" altLang="ko-KR" sz="1100"/>
            <a:t>: </a:t>
          </a:r>
        </a:p>
        <a:p>
          <a:r>
            <a:rPr lang="ko-KR" altLang="en-US" sz="1100"/>
            <a:t>각 학생의 로우 데이터 </a:t>
          </a:r>
          <a:r>
            <a:rPr lang="en-US" altLang="ko-KR" sz="1100"/>
            <a:t>&gt; '</a:t>
          </a:r>
          <a:r>
            <a:rPr lang="ko-KR" altLang="en-US" sz="1100"/>
            <a:t>데이터 원본</a:t>
          </a:r>
          <a:r>
            <a:rPr lang="en-US" altLang="ko-KR" sz="1100"/>
            <a:t>' </a:t>
          </a:r>
          <a:r>
            <a:rPr lang="ko-KR" altLang="en-US" sz="1100"/>
            <a:t>열 데이터에서</a:t>
          </a:r>
          <a:r>
            <a:rPr lang="en-US" altLang="ko-KR" sz="1100"/>
            <a:t>, </a:t>
          </a:r>
        </a:p>
        <a:p>
          <a:r>
            <a:rPr lang="ko-KR" altLang="en-US" sz="1100"/>
            <a:t>≪</a:t>
          </a:r>
          <a:r>
            <a:rPr lang="en-US" altLang="ko-KR" sz="1100"/>
            <a:t>*</a:t>
          </a:r>
          <a:r>
            <a:rPr lang="ko-KR" altLang="en-US" sz="1100"/>
            <a:t>≫ 괄호로 이루어진 텍스트를 추출</a:t>
          </a:r>
          <a:endParaRPr lang="en-US" altLang="ko-KR" sz="1100"/>
        </a:p>
        <a:p>
          <a:r>
            <a:rPr lang="en-US" altLang="ko-KR" sz="1100"/>
            <a:t>(</a:t>
          </a:r>
          <a:r>
            <a:rPr lang="ko-KR" altLang="en-US" sz="1100"/>
            <a:t>참고 </a:t>
          </a:r>
          <a:r>
            <a:rPr lang="en-US" altLang="ko-KR" sz="1100"/>
            <a:t>: </a:t>
          </a:r>
          <a:r>
            <a:rPr lang="ko-KR" altLang="en-US" sz="1100"/>
            <a:t>각 로우데이터</a:t>
          </a:r>
          <a:r>
            <a:rPr lang="ko-KR" altLang="en-US" sz="1100" baseline="0"/>
            <a:t> 끝에 들어가는 </a:t>
          </a:r>
          <a:r>
            <a:rPr lang="ko-KR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≪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ko-KR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≫ 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는 데이터가 완전히 끝났음을 표시하는 용도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/>
        </a:p>
        <a:p>
          <a:r>
            <a:rPr lang="en-US" altLang="ko-KR" sz="1100"/>
            <a:t>3</a:t>
          </a:r>
          <a:r>
            <a:rPr lang="ko-KR" altLang="en-US" sz="1100"/>
            <a:t>열 </a:t>
          </a:r>
          <a:r>
            <a:rPr lang="en-US" altLang="ko-KR" sz="1100"/>
            <a:t>: </a:t>
          </a:r>
        </a:p>
        <a:p>
          <a:r>
            <a:rPr lang="en-US" altLang="ko-KR" sz="1100"/>
            <a:t>2</a:t>
          </a:r>
          <a:r>
            <a:rPr lang="ko-KR" altLang="en-US" sz="1100"/>
            <a:t>열에서 추출한 키워드를 기반으로</a:t>
          </a:r>
          <a:r>
            <a:rPr lang="en-US" altLang="ko-KR" sz="1100" baseline="0"/>
            <a:t> </a:t>
          </a:r>
          <a:r>
            <a:rPr lang="ko-KR" altLang="en-US" sz="1100" baseline="0"/>
            <a:t>각 </a:t>
          </a:r>
          <a:r>
            <a:rPr lang="ko-KR" altLang="en-US" sz="1100"/>
            <a:t>데이터 묶음 범위를 추출</a:t>
          </a:r>
          <a:endParaRPr lang="en-US" altLang="ko-K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28E4C-BF7B-4A58-AB62-E16192B1F3AD}">
  <sheetPr codeName="Sheet1">
    <tabColor rgb="FFFFFF00"/>
  </sheetPr>
  <dimension ref="B2:D19"/>
  <sheetViews>
    <sheetView showGridLines="0" workbookViewId="0">
      <selection activeCell="D20" sqref="D20"/>
    </sheetView>
  </sheetViews>
  <sheetFormatPr defaultRowHeight="16.5"/>
  <cols>
    <col min="1" max="1" width="5.125" customWidth="1"/>
    <col min="2" max="2" width="9" style="53"/>
    <col min="3" max="3" width="21.375" style="84" bestFit="1" customWidth="1"/>
    <col min="4" max="4" width="70.75" style="84" customWidth="1"/>
  </cols>
  <sheetData>
    <row r="2" spans="2:4" ht="24">
      <c r="B2" s="94" t="s">
        <v>159</v>
      </c>
      <c r="C2" s="94"/>
    </row>
    <row r="3" spans="2:4">
      <c r="B3" s="85" t="s">
        <v>160</v>
      </c>
      <c r="C3" s="85" t="s">
        <v>156</v>
      </c>
      <c r="D3" s="85" t="s">
        <v>157</v>
      </c>
    </row>
    <row r="4" spans="2:4" ht="57.75" customHeight="1">
      <c r="B4" s="86">
        <v>1</v>
      </c>
      <c r="C4" s="87" t="s">
        <v>154</v>
      </c>
      <c r="D4" s="88" t="s">
        <v>158</v>
      </c>
    </row>
    <row r="5" spans="2:4" ht="55.5" customHeight="1">
      <c r="B5" s="86">
        <v>2</v>
      </c>
      <c r="C5" s="87" t="s">
        <v>155</v>
      </c>
      <c r="D5" s="88" t="s">
        <v>161</v>
      </c>
    </row>
    <row r="8" spans="2:4" ht="24">
      <c r="B8" s="94" t="s">
        <v>153</v>
      </c>
      <c r="C8" s="94"/>
    </row>
    <row r="9" spans="2:4" ht="50.25" customHeight="1">
      <c r="B9" s="96" t="s">
        <v>163</v>
      </c>
      <c r="C9" s="97"/>
      <c r="D9" s="97"/>
    </row>
    <row r="10" spans="2:4" ht="39.75" customHeight="1">
      <c r="B10" s="95" t="s">
        <v>162</v>
      </c>
      <c r="C10" s="95"/>
      <c r="D10" s="95"/>
    </row>
    <row r="11" spans="2:4">
      <c r="B11" s="89"/>
    </row>
    <row r="12" spans="2:4">
      <c r="B12" s="89"/>
    </row>
    <row r="13" spans="2:4">
      <c r="B13" s="89"/>
    </row>
    <row r="14" spans="2:4">
      <c r="B14" s="89"/>
    </row>
    <row r="15" spans="2:4">
      <c r="B15" s="89"/>
    </row>
    <row r="16" spans="2:4">
      <c r="B16" s="89"/>
    </row>
    <row r="17" spans="2:2">
      <c r="B17" s="89"/>
    </row>
    <row r="18" spans="2:2">
      <c r="B18" s="89"/>
    </row>
    <row r="19" spans="2:2">
      <c r="B19" s="89"/>
    </row>
  </sheetData>
  <mergeCells count="4">
    <mergeCell ref="B2:C2"/>
    <mergeCell ref="B8:C8"/>
    <mergeCell ref="B10:D10"/>
    <mergeCell ref="B9:D9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90AB0-24FA-45EC-86A7-ED850505654E}">
  <sheetPr codeName="Sheet2"/>
  <dimension ref="B2:AG65"/>
  <sheetViews>
    <sheetView showGridLines="0" zoomScaleNormal="100" workbookViewId="0">
      <selection activeCell="I42" sqref="I42"/>
    </sheetView>
  </sheetViews>
  <sheetFormatPr defaultRowHeight="16.5"/>
  <cols>
    <col min="1" max="1" width="9" style="1" customWidth="1"/>
    <col min="2" max="2" width="15" style="1" customWidth="1"/>
    <col min="3" max="3" width="10" style="4" customWidth="1"/>
    <col min="4" max="4" width="16" style="4" customWidth="1"/>
    <col min="5" max="5" width="13.125" style="4" hidden="1" customWidth="1"/>
    <col min="6" max="6" width="17.25" style="4" hidden="1" customWidth="1"/>
    <col min="7" max="7" width="19.5" style="1" hidden="1" customWidth="1"/>
    <col min="8" max="8" width="4.125" style="1" customWidth="1"/>
    <col min="9" max="9" width="14" style="1" customWidth="1"/>
    <col min="10" max="10" width="9" style="1" customWidth="1"/>
    <col min="11" max="11" width="14" style="1" customWidth="1"/>
    <col min="12" max="24" width="9" style="1" customWidth="1"/>
    <col min="25" max="25" width="4.75" style="1" customWidth="1"/>
    <col min="26" max="31" width="0" style="1" hidden="1" customWidth="1"/>
    <col min="32" max="32" width="16" style="1" customWidth="1"/>
    <col min="33" max="33" width="18.5" style="1" customWidth="1"/>
    <col min="34" max="16384" width="9" style="1"/>
  </cols>
  <sheetData>
    <row r="2" spans="2:33" ht="24.75" customHeight="1" thickBot="1">
      <c r="I2" s="106" t="s">
        <v>5</v>
      </c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8"/>
    </row>
    <row r="3" spans="2:33" ht="17.25" thickTop="1">
      <c r="B3" s="115" t="s">
        <v>105</v>
      </c>
      <c r="C3" s="115"/>
      <c r="D3" s="115"/>
      <c r="I3" s="5" t="s">
        <v>6</v>
      </c>
      <c r="J3" s="109" t="s">
        <v>7</v>
      </c>
      <c r="K3" s="110"/>
      <c r="L3" s="10" t="s">
        <v>8</v>
      </c>
      <c r="M3" s="10" t="s">
        <v>9</v>
      </c>
      <c r="N3" s="10" t="s">
        <v>10</v>
      </c>
      <c r="O3" s="10" t="s">
        <v>11</v>
      </c>
      <c r="P3" s="10" t="s">
        <v>12</v>
      </c>
      <c r="Q3" s="10" t="s">
        <v>13</v>
      </c>
      <c r="R3" s="10" t="s">
        <v>14</v>
      </c>
      <c r="S3" s="10" t="s">
        <v>15</v>
      </c>
      <c r="T3" s="10" t="s">
        <v>16</v>
      </c>
      <c r="U3" s="10" t="s">
        <v>17</v>
      </c>
      <c r="V3" s="10" t="s">
        <v>18</v>
      </c>
      <c r="W3" s="39" t="s">
        <v>19</v>
      </c>
      <c r="X3" s="40" t="s">
        <v>20</v>
      </c>
      <c r="AF3" s="41" t="s">
        <v>48</v>
      </c>
      <c r="AG3" s="4"/>
    </row>
    <row r="4" spans="2:33">
      <c r="B4" s="45" t="s">
        <v>103</v>
      </c>
      <c r="C4" s="45" t="s">
        <v>104</v>
      </c>
      <c r="D4" s="45" t="s">
        <v>100</v>
      </c>
      <c r="E4" s="54" t="s">
        <v>106</v>
      </c>
      <c r="F4" s="54" t="s">
        <v>107</v>
      </c>
      <c r="G4" s="54" t="s">
        <v>108</v>
      </c>
      <c r="I4" s="111" t="s">
        <v>98</v>
      </c>
      <c r="J4" s="114" t="s">
        <v>24</v>
      </c>
      <c r="K4" s="6" t="s">
        <v>139</v>
      </c>
      <c r="L4" s="11">
        <v>2396</v>
      </c>
      <c r="M4" s="11">
        <v>373</v>
      </c>
      <c r="N4" s="11">
        <v>1725</v>
      </c>
      <c r="O4" s="11">
        <v>19</v>
      </c>
      <c r="P4" s="57">
        <v>944</v>
      </c>
      <c r="Q4" s="12">
        <v>190</v>
      </c>
      <c r="R4" s="12">
        <v>209</v>
      </c>
      <c r="S4" s="13">
        <v>20000</v>
      </c>
      <c r="T4" s="12">
        <v>1900</v>
      </c>
      <c r="U4" s="12">
        <v>100</v>
      </c>
      <c r="V4" s="13">
        <v>100</v>
      </c>
      <c r="W4" s="14">
        <v>700</v>
      </c>
      <c r="X4" s="15">
        <v>0</v>
      </c>
      <c r="AF4" s="46" t="s">
        <v>50</v>
      </c>
      <c r="AG4" s="47" t="s">
        <v>51</v>
      </c>
    </row>
    <row r="5" spans="2:33">
      <c r="B5" s="2" t="str" cm="1">
        <f t="array" ref="B5:B13">_xlfn._xlws.FILTER(K:K, NOT(ISNUMBER(SEARCH("레벨", K:K))) * (K:K&lt;&gt;""))</f>
        <v>에리</v>
      </c>
      <c r="C5" s="2"/>
      <c r="D5" s="2"/>
      <c r="E5" s="54" t="str">
        <f t="shared" ref="E5:E12" si="0">IF(COUNTIF(I:I, B5), "O", "")</f>
        <v/>
      </c>
      <c r="F5" s="56" t="str">
        <f>IF(D5&lt;&gt;"","addcharacter "&amp;D5&amp;" 1","")</f>
        <v/>
      </c>
      <c r="G5" s="56" t="str">
        <f>IF(E5="O","addcharacter "&amp;D5&amp;" 90 5","")</f>
        <v/>
      </c>
      <c r="H5" s="53"/>
      <c r="I5" s="112"/>
      <c r="J5" s="101"/>
      <c r="K5" s="16" t="s">
        <v>151</v>
      </c>
      <c r="L5" s="17">
        <v>45086</v>
      </c>
      <c r="M5" s="17">
        <v>7665</v>
      </c>
      <c r="N5" s="17">
        <v>5938</v>
      </c>
      <c r="O5" s="18">
        <v>104</v>
      </c>
      <c r="P5" s="17">
        <v>944</v>
      </c>
      <c r="Q5" s="17">
        <v>190</v>
      </c>
      <c r="R5" s="17">
        <v>839</v>
      </c>
      <c r="S5" s="17">
        <v>24600</v>
      </c>
      <c r="T5" s="17">
        <v>1900</v>
      </c>
      <c r="U5" s="17">
        <v>100</v>
      </c>
      <c r="V5" s="18">
        <v>136</v>
      </c>
      <c r="W5" s="19">
        <v>700</v>
      </c>
      <c r="X5" s="20">
        <v>0</v>
      </c>
      <c r="AF5" s="48" t="s">
        <v>53</v>
      </c>
      <c r="AG5" s="49" t="s">
        <v>8</v>
      </c>
    </row>
    <row r="6" spans="2:33">
      <c r="B6" s="2" t="str">
        <v>에리(수영복)</v>
      </c>
      <c r="C6" s="2"/>
      <c r="D6" s="2"/>
      <c r="E6" s="54" t="str">
        <f t="shared" si="0"/>
        <v>O</v>
      </c>
      <c r="F6" s="56" t="str">
        <f t="shared" ref="F6:F13" si="1">IF(D6&lt;&gt;"","addcharacter "&amp;D6&amp;" 1","")</f>
        <v/>
      </c>
      <c r="G6" s="56" t="str">
        <f t="shared" ref="G6:G13" si="2">IF(E6="O","addcharacter "&amp;D6&amp;" 90 5","")</f>
        <v>addcharacter  90 5</v>
      </c>
      <c r="H6" s="53"/>
      <c r="I6" s="112"/>
      <c r="J6" s="117" t="s">
        <v>31</v>
      </c>
      <c r="K6" s="7" t="s">
        <v>152</v>
      </c>
      <c r="L6" s="21">
        <v>536</v>
      </c>
      <c r="M6" s="21">
        <v>134</v>
      </c>
      <c r="N6" s="8">
        <v>0</v>
      </c>
      <c r="O6" s="22" t="s">
        <v>34</v>
      </c>
      <c r="P6" s="23" t="s">
        <v>34</v>
      </c>
      <c r="Q6" s="23" t="s">
        <v>34</v>
      </c>
      <c r="R6" s="23" t="s">
        <v>34</v>
      </c>
      <c r="S6" s="23" t="s">
        <v>34</v>
      </c>
      <c r="T6" s="23" t="s">
        <v>34</v>
      </c>
      <c r="U6" s="23" t="s">
        <v>34</v>
      </c>
      <c r="V6" s="23" t="s">
        <v>34</v>
      </c>
      <c r="W6" s="24" t="s">
        <v>34</v>
      </c>
      <c r="X6" s="25" t="s">
        <v>34</v>
      </c>
      <c r="AF6" s="48" t="s">
        <v>55</v>
      </c>
      <c r="AG6" s="49" t="s">
        <v>9</v>
      </c>
    </row>
    <row r="7" spans="2:33">
      <c r="B7" s="2" t="str">
        <v>에리(어쩌구)</v>
      </c>
      <c r="C7" s="2"/>
      <c r="D7" s="2"/>
      <c r="E7" s="54" t="str">
        <f t="shared" si="0"/>
        <v/>
      </c>
      <c r="F7" s="56" t="str">
        <f t="shared" si="1"/>
        <v/>
      </c>
      <c r="G7" s="56" t="str">
        <f t="shared" si="2"/>
        <v/>
      </c>
      <c r="H7" s="53"/>
      <c r="I7" s="113"/>
      <c r="J7" s="101"/>
      <c r="K7" s="16" t="s">
        <v>37</v>
      </c>
      <c r="L7" s="26">
        <v>3412</v>
      </c>
      <c r="M7" s="26">
        <v>855</v>
      </c>
      <c r="N7" s="17">
        <v>0</v>
      </c>
      <c r="O7" s="18" t="s">
        <v>34</v>
      </c>
      <c r="P7" s="18" t="s">
        <v>34</v>
      </c>
      <c r="Q7" s="18" t="s">
        <v>34</v>
      </c>
      <c r="R7" s="18" t="s">
        <v>34</v>
      </c>
      <c r="S7" s="18" t="s">
        <v>34</v>
      </c>
      <c r="T7" s="18" t="s">
        <v>34</v>
      </c>
      <c r="U7" s="18" t="s">
        <v>34</v>
      </c>
      <c r="V7" s="18" t="s">
        <v>34</v>
      </c>
      <c r="W7" s="19" t="s">
        <v>34</v>
      </c>
      <c r="X7" s="20" t="s">
        <v>34</v>
      </c>
      <c r="AF7" s="48" t="s">
        <v>57</v>
      </c>
      <c r="AG7" s="49" t="s">
        <v>10</v>
      </c>
    </row>
    <row r="8" spans="2:33">
      <c r="B8" s="2" t="str">
        <v>카노에</v>
      </c>
      <c r="C8" s="2"/>
      <c r="D8" s="2"/>
      <c r="E8" s="54" t="str">
        <f t="shared" si="0"/>
        <v>O</v>
      </c>
      <c r="F8" s="56" t="str">
        <f t="shared" si="1"/>
        <v/>
      </c>
      <c r="G8" s="56" t="str">
        <f t="shared" si="2"/>
        <v>addcharacter  90 5</v>
      </c>
      <c r="H8" s="53"/>
      <c r="I8" s="9" t="s">
        <v>41</v>
      </c>
      <c r="J8" s="118" t="s">
        <v>42</v>
      </c>
      <c r="K8" s="7" t="s">
        <v>27</v>
      </c>
      <c r="L8" s="8">
        <v>970</v>
      </c>
      <c r="M8" s="8">
        <v>207</v>
      </c>
      <c r="N8" s="23">
        <v>0</v>
      </c>
      <c r="O8" s="23">
        <v>0</v>
      </c>
      <c r="P8" s="22" t="s">
        <v>34</v>
      </c>
      <c r="Q8" s="22" t="s">
        <v>34</v>
      </c>
      <c r="R8" s="22" t="s">
        <v>34</v>
      </c>
      <c r="S8" s="22" t="s">
        <v>34</v>
      </c>
      <c r="T8" s="23" t="s">
        <v>34</v>
      </c>
      <c r="U8" s="23" t="s">
        <v>34</v>
      </c>
      <c r="V8" s="22" t="s">
        <v>34</v>
      </c>
      <c r="W8" s="27" t="s">
        <v>34</v>
      </c>
      <c r="X8" s="28" t="s">
        <v>34</v>
      </c>
      <c r="AF8" s="48" t="s">
        <v>59</v>
      </c>
      <c r="AG8" s="49" t="s">
        <v>11</v>
      </c>
    </row>
    <row r="9" spans="2:33">
      <c r="B9" s="2" t="str">
        <v>1(감자)</v>
      </c>
      <c r="C9" s="2"/>
      <c r="D9" s="2"/>
      <c r="E9" s="54" t="str">
        <f t="shared" si="0"/>
        <v/>
      </c>
      <c r="F9" s="56" t="str">
        <f t="shared" si="1"/>
        <v/>
      </c>
      <c r="G9" s="56" t="str">
        <f t="shared" si="2"/>
        <v/>
      </c>
      <c r="H9" s="53"/>
      <c r="I9" s="9" t="s">
        <v>44</v>
      </c>
      <c r="J9" s="104"/>
      <c r="K9" s="16" t="s">
        <v>98</v>
      </c>
      <c r="L9" s="17"/>
      <c r="M9" s="18"/>
      <c r="N9" s="17"/>
      <c r="O9" s="18" t="s">
        <v>34</v>
      </c>
      <c r="P9" s="29" t="s">
        <v>34</v>
      </c>
      <c r="Q9" s="29" t="s">
        <v>34</v>
      </c>
      <c r="R9" s="29" t="s">
        <v>34</v>
      </c>
      <c r="S9" s="29" t="s">
        <v>34</v>
      </c>
      <c r="T9" s="18" t="s">
        <v>34</v>
      </c>
      <c r="U9" s="18" t="s">
        <v>34</v>
      </c>
      <c r="V9" s="29" t="s">
        <v>34</v>
      </c>
      <c r="W9" s="30" t="s">
        <v>34</v>
      </c>
      <c r="X9" s="31" t="s">
        <v>34</v>
      </c>
      <c r="AF9" s="48" t="s">
        <v>61</v>
      </c>
      <c r="AG9" s="49" t="s">
        <v>12</v>
      </c>
    </row>
    <row r="10" spans="2:33">
      <c r="B10" s="42" t="str">
        <v>1(고구마)</v>
      </c>
      <c r="C10" s="2"/>
      <c r="D10" s="2"/>
      <c r="E10" s="54" t="str">
        <f t="shared" si="0"/>
        <v/>
      </c>
      <c r="F10" s="56" t="str">
        <f t="shared" si="1"/>
        <v/>
      </c>
      <c r="G10" s="56" t="str">
        <f>IF(E10="O","addcharacter "&amp;D10&amp;" 90 5","")</f>
        <v/>
      </c>
      <c r="I10" s="32" t="s">
        <v>45</v>
      </c>
      <c r="J10" s="105"/>
      <c r="K10" s="33" t="s">
        <v>99</v>
      </c>
      <c r="L10" s="34"/>
      <c r="M10" s="34"/>
      <c r="N10" s="34"/>
      <c r="O10" s="35" t="s">
        <v>34</v>
      </c>
      <c r="P10" s="34" t="s">
        <v>34</v>
      </c>
      <c r="Q10" s="34" t="s">
        <v>34</v>
      </c>
      <c r="R10" s="34" t="s">
        <v>34</v>
      </c>
      <c r="S10" s="34" t="s">
        <v>34</v>
      </c>
      <c r="T10" s="34" t="s">
        <v>34</v>
      </c>
      <c r="U10" s="34" t="s">
        <v>34</v>
      </c>
      <c r="V10" s="36" t="s">
        <v>34</v>
      </c>
      <c r="W10" s="37" t="s">
        <v>34</v>
      </c>
      <c r="X10" s="38" t="s">
        <v>34</v>
      </c>
      <c r="AF10" s="48" t="s">
        <v>62</v>
      </c>
      <c r="AG10" s="49" t="s">
        <v>13</v>
      </c>
    </row>
    <row r="11" spans="2:33">
      <c r="B11" s="42">
        <v>1</v>
      </c>
      <c r="C11" s="2"/>
      <c r="D11" s="2"/>
      <c r="E11" s="54" t="str">
        <f t="shared" si="0"/>
        <v>O</v>
      </c>
      <c r="F11" s="56" t="str">
        <f t="shared" si="1"/>
        <v/>
      </c>
      <c r="G11" s="56" t="str">
        <f t="shared" si="2"/>
        <v>addcharacter  90 5</v>
      </c>
      <c r="I11" s="116" t="s">
        <v>47</v>
      </c>
      <c r="J11" s="100" t="s">
        <v>24</v>
      </c>
      <c r="K11" s="13" t="s">
        <v>25</v>
      </c>
      <c r="L11" s="12">
        <v>3192</v>
      </c>
      <c r="M11" s="12">
        <v>693</v>
      </c>
      <c r="N11" s="12">
        <v>1382</v>
      </c>
      <c r="O11" s="12">
        <v>171</v>
      </c>
      <c r="P11" s="12">
        <v>630</v>
      </c>
      <c r="Q11" s="12">
        <v>228</v>
      </c>
      <c r="R11" s="12">
        <v>210</v>
      </c>
      <c r="S11" s="12">
        <v>20000</v>
      </c>
      <c r="T11" s="12">
        <v>1900</v>
      </c>
      <c r="U11" s="12">
        <v>100</v>
      </c>
      <c r="V11" s="12">
        <v>100</v>
      </c>
      <c r="W11" s="14">
        <v>700</v>
      </c>
      <c r="X11" s="15">
        <v>0</v>
      </c>
      <c r="AF11" s="50" t="s">
        <v>63</v>
      </c>
      <c r="AG11" s="49" t="s">
        <v>14</v>
      </c>
    </row>
    <row r="12" spans="2:33">
      <c r="B12" s="2">
        <v>2</v>
      </c>
      <c r="C12" s="2"/>
      <c r="D12" s="2"/>
      <c r="E12" s="54" t="str">
        <f t="shared" si="0"/>
        <v>O</v>
      </c>
      <c r="F12" s="56" t="str">
        <f t="shared" si="1"/>
        <v/>
      </c>
      <c r="G12" s="56" t="str">
        <f t="shared" si="2"/>
        <v>addcharacter  90 5</v>
      </c>
      <c r="I12" s="112"/>
      <c r="J12" s="101"/>
      <c r="K12" s="16" t="s">
        <v>29</v>
      </c>
      <c r="L12" s="18">
        <v>100981</v>
      </c>
      <c r="M12" s="18">
        <v>13876</v>
      </c>
      <c r="N12" s="18">
        <v>5634</v>
      </c>
      <c r="O12" s="18">
        <v>2640</v>
      </c>
      <c r="P12" s="18">
        <v>630</v>
      </c>
      <c r="Q12" s="18">
        <v>228</v>
      </c>
      <c r="R12" s="18">
        <v>510</v>
      </c>
      <c r="S12" s="18">
        <v>20000</v>
      </c>
      <c r="T12" s="18">
        <v>1900</v>
      </c>
      <c r="U12" s="18">
        <v>100</v>
      </c>
      <c r="V12" s="18">
        <v>100</v>
      </c>
      <c r="W12" s="19">
        <v>700</v>
      </c>
      <c r="X12" s="58">
        <v>0</v>
      </c>
      <c r="AF12" s="50" t="s">
        <v>65</v>
      </c>
      <c r="AG12" s="49" t="s">
        <v>15</v>
      </c>
    </row>
    <row r="13" spans="2:33">
      <c r="B13" s="4">
        <v>3</v>
      </c>
      <c r="E13" s="54"/>
      <c r="F13" s="56" t="str">
        <f t="shared" si="1"/>
        <v/>
      </c>
      <c r="G13" s="56" t="str">
        <f t="shared" si="2"/>
        <v/>
      </c>
      <c r="I13" s="112"/>
      <c r="J13" s="102" t="s">
        <v>31</v>
      </c>
      <c r="K13" s="22" t="s">
        <v>32</v>
      </c>
      <c r="L13" s="23">
        <v>1350</v>
      </c>
      <c r="M13" s="23">
        <v>250</v>
      </c>
      <c r="N13" s="23">
        <v>138</v>
      </c>
      <c r="O13" s="22" t="s">
        <v>34</v>
      </c>
      <c r="P13" s="23" t="s">
        <v>34</v>
      </c>
      <c r="Q13" s="23" t="s">
        <v>34</v>
      </c>
      <c r="R13" s="23" t="s">
        <v>34</v>
      </c>
      <c r="S13" s="23" t="s">
        <v>34</v>
      </c>
      <c r="T13" s="23" t="s">
        <v>34</v>
      </c>
      <c r="U13" s="23" t="s">
        <v>34</v>
      </c>
      <c r="V13" s="23" t="s">
        <v>34</v>
      </c>
      <c r="W13" s="24" t="s">
        <v>34</v>
      </c>
      <c r="X13" s="59" t="s">
        <v>34</v>
      </c>
      <c r="AF13" s="48" t="s">
        <v>67</v>
      </c>
      <c r="AG13" s="49" t="s">
        <v>16</v>
      </c>
    </row>
    <row r="14" spans="2:33">
      <c r="B14" s="4"/>
      <c r="I14" s="113"/>
      <c r="J14" s="101"/>
      <c r="K14" s="29" t="s">
        <v>37</v>
      </c>
      <c r="L14" s="18">
        <v>8590</v>
      </c>
      <c r="M14" s="18">
        <v>1590</v>
      </c>
      <c r="N14" s="18">
        <v>879</v>
      </c>
      <c r="O14" s="18" t="s">
        <v>34</v>
      </c>
      <c r="P14" s="18" t="s">
        <v>34</v>
      </c>
      <c r="Q14" s="18" t="s">
        <v>34</v>
      </c>
      <c r="R14" s="18" t="s">
        <v>34</v>
      </c>
      <c r="S14" s="18" t="s">
        <v>34</v>
      </c>
      <c r="T14" s="18" t="s">
        <v>34</v>
      </c>
      <c r="U14" s="18" t="s">
        <v>34</v>
      </c>
      <c r="V14" s="18" t="s">
        <v>34</v>
      </c>
      <c r="W14" s="19" t="s">
        <v>34</v>
      </c>
      <c r="X14" s="58" t="s">
        <v>34</v>
      </c>
      <c r="AF14" s="48" t="s">
        <v>68</v>
      </c>
      <c r="AG14" s="49" t="s">
        <v>17</v>
      </c>
    </row>
    <row r="15" spans="2:33">
      <c r="B15" s="4"/>
      <c r="I15" s="60" t="s">
        <v>56</v>
      </c>
      <c r="J15" s="103" t="s">
        <v>42</v>
      </c>
      <c r="K15" s="22" t="s">
        <v>101</v>
      </c>
      <c r="L15" s="23">
        <v>3077</v>
      </c>
      <c r="M15" s="23">
        <v>0</v>
      </c>
      <c r="N15" s="23">
        <v>190</v>
      </c>
      <c r="O15" s="23">
        <v>0</v>
      </c>
      <c r="P15" s="22" t="s">
        <v>34</v>
      </c>
      <c r="Q15" s="22" t="s">
        <v>34</v>
      </c>
      <c r="R15" s="22" t="s">
        <v>34</v>
      </c>
      <c r="S15" s="22" t="s">
        <v>34</v>
      </c>
      <c r="T15" s="23" t="s">
        <v>34</v>
      </c>
      <c r="U15" s="23" t="s">
        <v>34</v>
      </c>
      <c r="V15" s="22" t="s">
        <v>34</v>
      </c>
      <c r="W15" s="27" t="s">
        <v>34</v>
      </c>
      <c r="X15" s="61" t="s">
        <v>34</v>
      </c>
      <c r="AF15" s="48" t="s">
        <v>69</v>
      </c>
      <c r="AG15" s="49" t="s">
        <v>18</v>
      </c>
    </row>
    <row r="16" spans="2:33">
      <c r="B16" s="4"/>
      <c r="I16" s="60" t="s">
        <v>44</v>
      </c>
      <c r="J16" s="104"/>
      <c r="K16" s="29"/>
      <c r="L16" s="18"/>
      <c r="M16" s="18"/>
      <c r="N16" s="18"/>
      <c r="O16" s="18" t="s">
        <v>34</v>
      </c>
      <c r="P16" s="29" t="s">
        <v>34</v>
      </c>
      <c r="Q16" s="29" t="s">
        <v>34</v>
      </c>
      <c r="R16" s="29" t="s">
        <v>34</v>
      </c>
      <c r="S16" s="29" t="s">
        <v>34</v>
      </c>
      <c r="T16" s="18" t="s">
        <v>34</v>
      </c>
      <c r="U16" s="18" t="s">
        <v>34</v>
      </c>
      <c r="V16" s="29" t="s">
        <v>34</v>
      </c>
      <c r="W16" s="30" t="s">
        <v>34</v>
      </c>
      <c r="X16" s="62" t="s">
        <v>34</v>
      </c>
      <c r="AF16" s="48" t="s">
        <v>70</v>
      </c>
      <c r="AG16" s="49" t="s">
        <v>19</v>
      </c>
    </row>
    <row r="17" spans="2:33">
      <c r="B17" s="51" t="s">
        <v>109</v>
      </c>
      <c r="I17" s="63" t="s">
        <v>60</v>
      </c>
      <c r="J17" s="105"/>
      <c r="K17" s="35"/>
      <c r="L17" s="36"/>
      <c r="M17" s="36"/>
      <c r="N17" s="36"/>
      <c r="O17" s="35" t="s">
        <v>34</v>
      </c>
      <c r="P17" s="36" t="s">
        <v>34</v>
      </c>
      <c r="Q17" s="36" t="s">
        <v>34</v>
      </c>
      <c r="R17" s="36" t="s">
        <v>34</v>
      </c>
      <c r="S17" s="36" t="s">
        <v>34</v>
      </c>
      <c r="T17" s="36" t="s">
        <v>34</v>
      </c>
      <c r="U17" s="36" t="s">
        <v>34</v>
      </c>
      <c r="V17" s="36" t="s">
        <v>34</v>
      </c>
      <c r="W17" s="37" t="s">
        <v>34</v>
      </c>
      <c r="X17" s="64" t="s">
        <v>34</v>
      </c>
      <c r="AF17" s="48" t="s">
        <v>71</v>
      </c>
      <c r="AG17" s="49" t="s">
        <v>20</v>
      </c>
    </row>
    <row r="18" spans="2:33">
      <c r="B18" s="4" t="s">
        <v>28</v>
      </c>
      <c r="I18" s="116">
        <v>1</v>
      </c>
      <c r="J18" s="100" t="s">
        <v>24</v>
      </c>
      <c r="K18" s="13" t="s">
        <v>25</v>
      </c>
      <c r="L18" s="12">
        <v>3192</v>
      </c>
      <c r="M18" s="12">
        <v>693</v>
      </c>
      <c r="N18" s="12">
        <v>1382</v>
      </c>
      <c r="O18" s="12">
        <v>171</v>
      </c>
      <c r="P18" s="12">
        <v>630</v>
      </c>
      <c r="Q18" s="12">
        <v>228</v>
      </c>
      <c r="R18" s="12">
        <v>210</v>
      </c>
      <c r="S18" s="12">
        <v>20000</v>
      </c>
      <c r="T18" s="12">
        <v>1900</v>
      </c>
      <c r="U18" s="12">
        <v>100</v>
      </c>
      <c r="V18" s="12">
        <v>100</v>
      </c>
      <c r="W18" s="14">
        <v>700</v>
      </c>
      <c r="X18" s="15">
        <v>0</v>
      </c>
      <c r="AF18" s="48" t="s">
        <v>72</v>
      </c>
      <c r="AG18" s="49" t="s">
        <v>21</v>
      </c>
    </row>
    <row r="19" spans="2:33">
      <c r="B19" s="4" t="s">
        <v>30</v>
      </c>
      <c r="I19" s="112"/>
      <c r="J19" s="101"/>
      <c r="K19" s="16" t="s">
        <v>29</v>
      </c>
      <c r="L19" s="18">
        <v>100981</v>
      </c>
      <c r="M19" s="18">
        <v>13876</v>
      </c>
      <c r="N19" s="18">
        <v>5634</v>
      </c>
      <c r="O19" s="18">
        <v>2640</v>
      </c>
      <c r="P19" s="18">
        <v>630</v>
      </c>
      <c r="Q19" s="18">
        <v>228</v>
      </c>
      <c r="R19" s="18">
        <v>510</v>
      </c>
      <c r="S19" s="18">
        <v>20000</v>
      </c>
      <c r="T19" s="18">
        <v>1900</v>
      </c>
      <c r="U19" s="18">
        <v>100</v>
      </c>
      <c r="V19" s="18">
        <v>100</v>
      </c>
      <c r="W19" s="19">
        <v>700</v>
      </c>
      <c r="X19" s="58">
        <v>0</v>
      </c>
      <c r="AF19" s="48" t="s">
        <v>74</v>
      </c>
      <c r="AG19" s="49" t="s">
        <v>23</v>
      </c>
    </row>
    <row r="20" spans="2:33">
      <c r="B20" s="4" t="s">
        <v>35</v>
      </c>
      <c r="E20" s="4" t="s">
        <v>110</v>
      </c>
      <c r="I20" s="112"/>
      <c r="J20" s="102" t="s">
        <v>31</v>
      </c>
      <c r="K20" s="22" t="s">
        <v>32</v>
      </c>
      <c r="L20" s="23">
        <v>1350</v>
      </c>
      <c r="M20" s="23">
        <v>250</v>
      </c>
      <c r="N20" s="23">
        <v>138</v>
      </c>
      <c r="O20" s="22" t="s">
        <v>34</v>
      </c>
      <c r="P20" s="23" t="s">
        <v>34</v>
      </c>
      <c r="Q20" s="23" t="s">
        <v>34</v>
      </c>
      <c r="R20" s="23" t="s">
        <v>34</v>
      </c>
      <c r="S20" s="23" t="s">
        <v>34</v>
      </c>
      <c r="T20" s="23" t="s">
        <v>34</v>
      </c>
      <c r="U20" s="23" t="s">
        <v>34</v>
      </c>
      <c r="V20" s="23" t="s">
        <v>34</v>
      </c>
      <c r="W20" s="24" t="s">
        <v>34</v>
      </c>
      <c r="X20" s="59" t="s">
        <v>34</v>
      </c>
      <c r="AF20" s="48" t="s">
        <v>75</v>
      </c>
      <c r="AG20" s="49" t="s">
        <v>22</v>
      </c>
    </row>
    <row r="21" spans="2:33">
      <c r="B21" s="4" t="s">
        <v>38</v>
      </c>
      <c r="E21" s="4" t="s">
        <v>111</v>
      </c>
      <c r="I21" s="113"/>
      <c r="J21" s="101"/>
      <c r="K21" s="29" t="s">
        <v>37</v>
      </c>
      <c r="L21" s="18">
        <v>8590</v>
      </c>
      <c r="M21" s="18">
        <v>1590</v>
      </c>
      <c r="N21" s="18">
        <v>879</v>
      </c>
      <c r="O21" s="18" t="s">
        <v>34</v>
      </c>
      <c r="P21" s="18" t="s">
        <v>34</v>
      </c>
      <c r="Q21" s="18" t="s">
        <v>34</v>
      </c>
      <c r="R21" s="18" t="s">
        <v>34</v>
      </c>
      <c r="S21" s="18" t="s">
        <v>34</v>
      </c>
      <c r="T21" s="18" t="s">
        <v>34</v>
      </c>
      <c r="U21" s="18" t="s">
        <v>34</v>
      </c>
      <c r="V21" s="18" t="s">
        <v>34</v>
      </c>
      <c r="W21" s="19" t="s">
        <v>34</v>
      </c>
      <c r="X21" s="58" t="s">
        <v>34</v>
      </c>
      <c r="AF21" s="48" t="s">
        <v>76</v>
      </c>
      <c r="AG21" s="49" t="s">
        <v>77</v>
      </c>
    </row>
    <row r="22" spans="2:33">
      <c r="I22" s="60" t="s">
        <v>56</v>
      </c>
      <c r="J22" s="103" t="s">
        <v>42</v>
      </c>
      <c r="K22" s="22" t="s">
        <v>102</v>
      </c>
      <c r="L22" s="23">
        <v>3077</v>
      </c>
      <c r="M22" s="23">
        <v>0</v>
      </c>
      <c r="N22" s="23">
        <v>190</v>
      </c>
      <c r="O22" s="23">
        <v>0</v>
      </c>
      <c r="P22" s="22" t="s">
        <v>34</v>
      </c>
      <c r="Q22" s="22" t="s">
        <v>34</v>
      </c>
      <c r="R22" s="22" t="s">
        <v>34</v>
      </c>
      <c r="S22" s="22" t="s">
        <v>34</v>
      </c>
      <c r="T22" s="23" t="s">
        <v>34</v>
      </c>
      <c r="U22" s="23" t="s">
        <v>34</v>
      </c>
      <c r="V22" s="22" t="s">
        <v>34</v>
      </c>
      <c r="W22" s="27" t="s">
        <v>34</v>
      </c>
      <c r="X22" s="61" t="s">
        <v>34</v>
      </c>
      <c r="AF22" s="48" t="s">
        <v>78</v>
      </c>
      <c r="AG22" s="49" t="s">
        <v>79</v>
      </c>
    </row>
    <row r="23" spans="2:33">
      <c r="I23" s="60" t="s">
        <v>44</v>
      </c>
      <c r="J23" s="104"/>
      <c r="K23" s="29" t="s">
        <v>150</v>
      </c>
      <c r="L23" s="18"/>
      <c r="M23" s="18"/>
      <c r="N23" s="18"/>
      <c r="O23" s="18" t="s">
        <v>34</v>
      </c>
      <c r="P23" s="29" t="s">
        <v>34</v>
      </c>
      <c r="Q23" s="29" t="s">
        <v>34</v>
      </c>
      <c r="R23" s="29" t="s">
        <v>34</v>
      </c>
      <c r="S23" s="29" t="s">
        <v>34</v>
      </c>
      <c r="T23" s="18" t="s">
        <v>34</v>
      </c>
      <c r="U23" s="18" t="s">
        <v>34</v>
      </c>
      <c r="V23" s="29" t="s">
        <v>34</v>
      </c>
      <c r="W23" s="30" t="s">
        <v>34</v>
      </c>
      <c r="X23" s="62" t="s">
        <v>34</v>
      </c>
      <c r="AF23" s="48" t="s">
        <v>80</v>
      </c>
      <c r="AG23" s="49" t="s">
        <v>81</v>
      </c>
    </row>
    <row r="24" spans="2:33">
      <c r="I24" s="63" t="s">
        <v>60</v>
      </c>
      <c r="J24" s="105"/>
      <c r="K24" s="35">
        <v>1</v>
      </c>
      <c r="L24" s="36"/>
      <c r="M24" s="36"/>
      <c r="N24" s="36"/>
      <c r="O24" s="35" t="s">
        <v>34</v>
      </c>
      <c r="P24" s="36" t="s">
        <v>34</v>
      </c>
      <c r="Q24" s="36" t="s">
        <v>34</v>
      </c>
      <c r="R24" s="36" t="s">
        <v>34</v>
      </c>
      <c r="S24" s="36" t="s">
        <v>34</v>
      </c>
      <c r="T24" s="36" t="s">
        <v>34</v>
      </c>
      <c r="U24" s="36" t="s">
        <v>34</v>
      </c>
      <c r="V24" s="36" t="s">
        <v>34</v>
      </c>
      <c r="W24" s="37" t="s">
        <v>34</v>
      </c>
      <c r="X24" s="64" t="s">
        <v>34</v>
      </c>
      <c r="AF24" s="1" t="s">
        <v>112</v>
      </c>
      <c r="AG24" s="1" t="s">
        <v>113</v>
      </c>
    </row>
    <row r="25" spans="2:33">
      <c r="I25" s="116">
        <v>2</v>
      </c>
      <c r="J25" s="100" t="s">
        <v>24</v>
      </c>
      <c r="K25" s="13" t="s">
        <v>25</v>
      </c>
      <c r="L25" s="12">
        <v>3192</v>
      </c>
      <c r="M25" s="12">
        <v>693</v>
      </c>
      <c r="N25" s="12">
        <v>1382</v>
      </c>
      <c r="O25" s="12">
        <v>171</v>
      </c>
      <c r="P25" s="12">
        <v>630</v>
      </c>
      <c r="Q25" s="12">
        <v>228</v>
      </c>
      <c r="R25" s="12">
        <v>210</v>
      </c>
      <c r="S25" s="12">
        <v>20000</v>
      </c>
      <c r="T25" s="12">
        <v>1900</v>
      </c>
      <c r="U25" s="12">
        <v>100</v>
      </c>
      <c r="V25" s="12">
        <v>100</v>
      </c>
      <c r="W25" s="14">
        <v>700</v>
      </c>
      <c r="X25" s="15">
        <v>0</v>
      </c>
    </row>
    <row r="26" spans="2:33">
      <c r="I26" s="112"/>
      <c r="J26" s="101"/>
      <c r="K26" s="16" t="s">
        <v>29</v>
      </c>
      <c r="L26" s="18">
        <v>100981</v>
      </c>
      <c r="M26" s="18">
        <v>13876</v>
      </c>
      <c r="N26" s="18">
        <v>5634</v>
      </c>
      <c r="O26" s="18">
        <v>2640</v>
      </c>
      <c r="P26" s="18">
        <v>630</v>
      </c>
      <c r="Q26" s="18">
        <v>228</v>
      </c>
      <c r="R26" s="18">
        <v>510</v>
      </c>
      <c r="S26" s="18">
        <v>20000</v>
      </c>
      <c r="T26" s="18">
        <v>1900</v>
      </c>
      <c r="U26" s="18">
        <v>100</v>
      </c>
      <c r="V26" s="18">
        <v>100</v>
      </c>
      <c r="W26" s="19">
        <v>700</v>
      </c>
      <c r="X26" s="58">
        <v>0</v>
      </c>
    </row>
    <row r="27" spans="2:33">
      <c r="I27" s="112"/>
      <c r="J27" s="102" t="s">
        <v>31</v>
      </c>
      <c r="K27" s="22" t="s">
        <v>32</v>
      </c>
      <c r="L27" s="23">
        <v>1350</v>
      </c>
      <c r="M27" s="23">
        <v>250</v>
      </c>
      <c r="N27" s="23">
        <v>138</v>
      </c>
      <c r="O27" s="22" t="s">
        <v>34</v>
      </c>
      <c r="P27" s="23" t="s">
        <v>34</v>
      </c>
      <c r="Q27" s="23" t="s">
        <v>34</v>
      </c>
      <c r="R27" s="23" t="s">
        <v>34</v>
      </c>
      <c r="S27" s="23" t="s">
        <v>34</v>
      </c>
      <c r="T27" s="23" t="s">
        <v>34</v>
      </c>
      <c r="U27" s="23" t="s">
        <v>34</v>
      </c>
      <c r="V27" s="23" t="s">
        <v>34</v>
      </c>
      <c r="W27" s="24" t="s">
        <v>34</v>
      </c>
      <c r="X27" s="59" t="s">
        <v>34</v>
      </c>
    </row>
    <row r="28" spans="2:33">
      <c r="I28" s="113"/>
      <c r="J28" s="101"/>
      <c r="K28" s="29" t="s">
        <v>37</v>
      </c>
      <c r="L28" s="18">
        <v>8590</v>
      </c>
      <c r="M28" s="18">
        <v>1590</v>
      </c>
      <c r="N28" s="18">
        <v>879</v>
      </c>
      <c r="O28" s="18" t="s">
        <v>34</v>
      </c>
      <c r="P28" s="18" t="s">
        <v>34</v>
      </c>
      <c r="Q28" s="18" t="s">
        <v>34</v>
      </c>
      <c r="R28" s="18" t="s">
        <v>34</v>
      </c>
      <c r="S28" s="18" t="s">
        <v>34</v>
      </c>
      <c r="T28" s="18" t="s">
        <v>34</v>
      </c>
      <c r="U28" s="18" t="s">
        <v>34</v>
      </c>
      <c r="V28" s="18" t="s">
        <v>34</v>
      </c>
      <c r="W28" s="19" t="s">
        <v>34</v>
      </c>
      <c r="X28" s="58" t="s">
        <v>34</v>
      </c>
    </row>
    <row r="29" spans="2:33">
      <c r="I29" s="60" t="s">
        <v>56</v>
      </c>
      <c r="J29" s="103" t="s">
        <v>42</v>
      </c>
      <c r="K29" s="22">
        <v>2</v>
      </c>
      <c r="L29" s="23">
        <v>3077</v>
      </c>
      <c r="M29" s="23">
        <v>0</v>
      </c>
      <c r="N29" s="23">
        <v>190</v>
      </c>
      <c r="O29" s="23">
        <v>0</v>
      </c>
      <c r="P29" s="22" t="s">
        <v>34</v>
      </c>
      <c r="Q29" s="22" t="s">
        <v>34</v>
      </c>
      <c r="R29" s="22" t="s">
        <v>34</v>
      </c>
      <c r="S29" s="22" t="s">
        <v>34</v>
      </c>
      <c r="T29" s="23" t="s">
        <v>34</v>
      </c>
      <c r="U29" s="23" t="s">
        <v>34</v>
      </c>
      <c r="V29" s="22" t="s">
        <v>34</v>
      </c>
      <c r="W29" s="27" t="s">
        <v>34</v>
      </c>
      <c r="X29" s="61" t="s">
        <v>34</v>
      </c>
    </row>
    <row r="30" spans="2:33">
      <c r="I30" s="60" t="s">
        <v>44</v>
      </c>
      <c r="J30" s="104"/>
      <c r="K30" s="29"/>
      <c r="L30" s="18"/>
      <c r="M30" s="18"/>
      <c r="N30" s="18"/>
      <c r="O30" s="18" t="s">
        <v>34</v>
      </c>
      <c r="P30" s="29" t="s">
        <v>34</v>
      </c>
      <c r="Q30" s="29" t="s">
        <v>34</v>
      </c>
      <c r="R30" s="29" t="s">
        <v>34</v>
      </c>
      <c r="S30" s="29" t="s">
        <v>34</v>
      </c>
      <c r="T30" s="18" t="s">
        <v>34</v>
      </c>
      <c r="U30" s="18" t="s">
        <v>34</v>
      </c>
      <c r="V30" s="29" t="s">
        <v>34</v>
      </c>
      <c r="W30" s="30" t="s">
        <v>34</v>
      </c>
      <c r="X30" s="62" t="s">
        <v>34</v>
      </c>
    </row>
    <row r="31" spans="2:33">
      <c r="I31" s="63" t="s">
        <v>60</v>
      </c>
      <c r="J31" s="105"/>
      <c r="K31" s="35"/>
      <c r="L31" s="36"/>
      <c r="M31" s="36"/>
      <c r="N31" s="36"/>
      <c r="O31" s="35" t="s">
        <v>34</v>
      </c>
      <c r="P31" s="36" t="s">
        <v>34</v>
      </c>
      <c r="Q31" s="36" t="s">
        <v>34</v>
      </c>
      <c r="R31" s="36" t="s">
        <v>34</v>
      </c>
      <c r="S31" s="36" t="s">
        <v>34</v>
      </c>
      <c r="T31" s="36" t="s">
        <v>34</v>
      </c>
      <c r="U31" s="36" t="s">
        <v>34</v>
      </c>
      <c r="V31" s="36" t="s">
        <v>34</v>
      </c>
      <c r="W31" s="37" t="s">
        <v>34</v>
      </c>
      <c r="X31" s="64" t="s">
        <v>34</v>
      </c>
    </row>
    <row r="32" spans="2:33">
      <c r="B32" s="4"/>
      <c r="I32" s="116">
        <v>3</v>
      </c>
      <c r="J32" s="100" t="s">
        <v>24</v>
      </c>
      <c r="K32" s="13" t="s">
        <v>25</v>
      </c>
      <c r="L32" s="12">
        <v>3192</v>
      </c>
      <c r="M32" s="12">
        <v>693</v>
      </c>
      <c r="N32" s="12">
        <v>1382</v>
      </c>
      <c r="O32" s="12">
        <v>171</v>
      </c>
      <c r="P32" s="12">
        <v>630</v>
      </c>
      <c r="Q32" s="12">
        <v>228</v>
      </c>
      <c r="R32" s="12">
        <v>210</v>
      </c>
      <c r="S32" s="12">
        <v>20000</v>
      </c>
      <c r="T32" s="12">
        <v>1900</v>
      </c>
      <c r="U32" s="12">
        <v>100</v>
      </c>
      <c r="V32" s="12">
        <v>100</v>
      </c>
      <c r="W32" s="14">
        <v>700</v>
      </c>
      <c r="X32" s="15">
        <v>0</v>
      </c>
    </row>
    <row r="33" spans="2:33">
      <c r="B33" s="4"/>
      <c r="I33" s="112"/>
      <c r="J33" s="101"/>
      <c r="K33" s="16" t="s">
        <v>29</v>
      </c>
      <c r="L33" s="18">
        <v>100981</v>
      </c>
      <c r="M33" s="18">
        <v>13876</v>
      </c>
      <c r="N33" s="18">
        <v>5634</v>
      </c>
      <c r="O33" s="18">
        <v>2640</v>
      </c>
      <c r="P33" s="18">
        <v>630</v>
      </c>
      <c r="Q33" s="18">
        <v>228</v>
      </c>
      <c r="R33" s="18">
        <v>510</v>
      </c>
      <c r="S33" s="18">
        <v>20000</v>
      </c>
      <c r="T33" s="18">
        <v>1900</v>
      </c>
      <c r="U33" s="18">
        <v>100</v>
      </c>
      <c r="V33" s="18">
        <v>100</v>
      </c>
      <c r="W33" s="19">
        <v>700</v>
      </c>
      <c r="X33" s="58">
        <v>0</v>
      </c>
      <c r="AF33" s="41" t="s">
        <v>82</v>
      </c>
      <c r="AG33" s="52"/>
    </row>
    <row r="34" spans="2:33">
      <c r="B34" s="4"/>
      <c r="I34" s="112"/>
      <c r="J34" s="102" t="s">
        <v>31</v>
      </c>
      <c r="K34" s="22" t="s">
        <v>32</v>
      </c>
      <c r="L34" s="23">
        <v>1350</v>
      </c>
      <c r="M34" s="23">
        <v>250</v>
      </c>
      <c r="N34" s="23">
        <v>138</v>
      </c>
      <c r="O34" s="22" t="s">
        <v>34</v>
      </c>
      <c r="P34" s="23" t="s">
        <v>34</v>
      </c>
      <c r="Q34" s="23" t="s">
        <v>34</v>
      </c>
      <c r="R34" s="23" t="s">
        <v>34</v>
      </c>
      <c r="S34" s="23" t="s">
        <v>34</v>
      </c>
      <c r="T34" s="23" t="s">
        <v>34</v>
      </c>
      <c r="U34" s="23" t="s">
        <v>34</v>
      </c>
      <c r="V34" s="23" t="s">
        <v>34</v>
      </c>
      <c r="W34" s="24" t="s">
        <v>34</v>
      </c>
      <c r="X34" s="59" t="s">
        <v>34</v>
      </c>
      <c r="AF34" s="46" t="s">
        <v>50</v>
      </c>
      <c r="AG34" s="47" t="s">
        <v>51</v>
      </c>
    </row>
    <row r="35" spans="2:33">
      <c r="B35" s="4"/>
      <c r="I35" s="113"/>
      <c r="J35" s="101"/>
      <c r="K35" s="29" t="s">
        <v>37</v>
      </c>
      <c r="L35" s="18">
        <v>8590</v>
      </c>
      <c r="M35" s="18">
        <v>1590</v>
      </c>
      <c r="N35" s="18">
        <v>879</v>
      </c>
      <c r="O35" s="18" t="s">
        <v>34</v>
      </c>
      <c r="P35" s="18" t="s">
        <v>34</v>
      </c>
      <c r="Q35" s="18" t="s">
        <v>34</v>
      </c>
      <c r="R35" s="18" t="s">
        <v>34</v>
      </c>
      <c r="S35" s="18" t="s">
        <v>34</v>
      </c>
      <c r="T35" s="18" t="s">
        <v>34</v>
      </c>
      <c r="U35" s="18" t="s">
        <v>34</v>
      </c>
      <c r="V35" s="18" t="s">
        <v>34</v>
      </c>
      <c r="W35" s="19" t="s">
        <v>34</v>
      </c>
      <c r="X35" s="58" t="s">
        <v>34</v>
      </c>
      <c r="AF35" s="48" t="s">
        <v>73</v>
      </c>
      <c r="AG35" s="49" t="s">
        <v>8</v>
      </c>
    </row>
    <row r="36" spans="2:33" ht="16.5" customHeight="1">
      <c r="B36" s="4"/>
      <c r="I36" s="60" t="s">
        <v>56</v>
      </c>
      <c r="J36" s="98" t="s">
        <v>42</v>
      </c>
      <c r="K36" s="22">
        <v>3</v>
      </c>
      <c r="L36" s="23">
        <v>3077</v>
      </c>
      <c r="M36" s="23">
        <v>0</v>
      </c>
      <c r="N36" s="23">
        <v>190</v>
      </c>
      <c r="O36" s="23">
        <v>0</v>
      </c>
      <c r="P36" s="22" t="s">
        <v>34</v>
      </c>
      <c r="Q36" s="22" t="s">
        <v>34</v>
      </c>
      <c r="R36" s="22" t="s">
        <v>34</v>
      </c>
      <c r="S36" s="22" t="s">
        <v>34</v>
      </c>
      <c r="T36" s="23" t="s">
        <v>34</v>
      </c>
      <c r="U36" s="23" t="s">
        <v>34</v>
      </c>
      <c r="V36" s="22" t="s">
        <v>34</v>
      </c>
      <c r="W36" s="27" t="s">
        <v>34</v>
      </c>
      <c r="X36" s="61" t="s">
        <v>34</v>
      </c>
      <c r="AF36" s="48" t="s">
        <v>55</v>
      </c>
      <c r="AG36" s="49" t="s">
        <v>9</v>
      </c>
    </row>
    <row r="37" spans="2:33">
      <c r="B37" s="4"/>
      <c r="I37" s="60" t="s">
        <v>44</v>
      </c>
      <c r="J37" s="99"/>
      <c r="K37" s="29"/>
      <c r="L37" s="18"/>
      <c r="M37" s="18"/>
      <c r="N37" s="18"/>
      <c r="O37" s="18" t="s">
        <v>34</v>
      </c>
      <c r="P37" s="29" t="s">
        <v>34</v>
      </c>
      <c r="Q37" s="29" t="s">
        <v>34</v>
      </c>
      <c r="R37" s="29" t="s">
        <v>34</v>
      </c>
      <c r="S37" s="29" t="s">
        <v>34</v>
      </c>
      <c r="T37" s="18" t="s">
        <v>34</v>
      </c>
      <c r="U37" s="18" t="s">
        <v>34</v>
      </c>
      <c r="V37" s="29" t="s">
        <v>34</v>
      </c>
      <c r="W37" s="30" t="s">
        <v>34</v>
      </c>
      <c r="X37" s="62" t="s">
        <v>34</v>
      </c>
      <c r="AF37" s="48" t="s">
        <v>57</v>
      </c>
      <c r="AG37" s="49" t="s">
        <v>10</v>
      </c>
    </row>
    <row r="38" spans="2:33">
      <c r="B38" s="4"/>
      <c r="I38" s="75" t="s">
        <v>117</v>
      </c>
      <c r="J38" s="99"/>
      <c r="K38" s="76"/>
      <c r="L38" s="77"/>
      <c r="M38" s="77"/>
      <c r="N38" s="77"/>
      <c r="O38" s="77"/>
      <c r="P38" s="76"/>
      <c r="Q38" s="76"/>
      <c r="R38" s="76"/>
      <c r="S38" s="76"/>
      <c r="T38" s="77"/>
      <c r="U38" s="77"/>
      <c r="V38" s="76"/>
      <c r="W38" s="78"/>
      <c r="X38" s="79"/>
      <c r="AF38" s="80"/>
      <c r="AG38" s="81"/>
    </row>
    <row r="39" spans="2:33">
      <c r="B39" s="4"/>
      <c r="I39" s="63"/>
      <c r="J39" s="83"/>
      <c r="K39" s="35"/>
      <c r="L39" s="36"/>
      <c r="M39" s="36"/>
      <c r="N39" s="36"/>
      <c r="O39" s="35" t="s">
        <v>34</v>
      </c>
      <c r="P39" s="36" t="s">
        <v>34</v>
      </c>
      <c r="Q39" s="36" t="s">
        <v>34</v>
      </c>
      <c r="R39" s="36" t="s">
        <v>34</v>
      </c>
      <c r="S39" s="36" t="s">
        <v>34</v>
      </c>
      <c r="T39" s="36" t="s">
        <v>34</v>
      </c>
      <c r="U39" s="36" t="s">
        <v>34</v>
      </c>
      <c r="V39" s="36" t="s">
        <v>34</v>
      </c>
      <c r="W39" s="37" t="s">
        <v>34</v>
      </c>
      <c r="X39" s="64" t="s">
        <v>34</v>
      </c>
    </row>
    <row r="40" spans="2:33">
      <c r="B40" s="4"/>
    </row>
    <row r="41" spans="2:33">
      <c r="B41" s="4"/>
    </row>
    <row r="42" spans="2:33">
      <c r="B42" s="73"/>
    </row>
    <row r="43" spans="2:33" ht="16.5" customHeight="1">
      <c r="B43" s="73"/>
    </row>
    <row r="44" spans="2:33" ht="16.5" customHeight="1">
      <c r="B44" s="73"/>
    </row>
    <row r="45" spans="2:33" ht="16.5" customHeight="1"/>
    <row r="46" spans="2:33" ht="16.5" customHeight="1"/>
    <row r="48" spans="2:33" ht="24" customHeight="1"/>
    <row r="50" ht="24.75" customHeight="1"/>
    <row r="51" ht="17.25" customHeight="1"/>
    <row r="54" ht="16.5" customHeight="1"/>
    <row r="56" ht="24" customHeight="1"/>
    <row r="61" ht="16.5" customHeight="1"/>
    <row r="63" ht="16.5" customHeight="1"/>
    <row r="65" ht="24" customHeight="1"/>
  </sheetData>
  <mergeCells count="23">
    <mergeCell ref="B3:D3"/>
    <mergeCell ref="J32:J33"/>
    <mergeCell ref="J34:J35"/>
    <mergeCell ref="I18:I21"/>
    <mergeCell ref="J18:J19"/>
    <mergeCell ref="J20:J21"/>
    <mergeCell ref="J22:J24"/>
    <mergeCell ref="I25:I28"/>
    <mergeCell ref="J25:J26"/>
    <mergeCell ref="J27:J28"/>
    <mergeCell ref="J29:J31"/>
    <mergeCell ref="I32:I35"/>
    <mergeCell ref="J6:J7"/>
    <mergeCell ref="J8:J10"/>
    <mergeCell ref="I11:I14"/>
    <mergeCell ref="J36:J38"/>
    <mergeCell ref="J11:J12"/>
    <mergeCell ref="J13:J14"/>
    <mergeCell ref="J15:J17"/>
    <mergeCell ref="I2:X2"/>
    <mergeCell ref="J3:K3"/>
    <mergeCell ref="I4:I7"/>
    <mergeCell ref="J4:J5"/>
  </mergeCells>
  <phoneticPr fontId="3" type="noConversion"/>
  <conditionalFormatting sqref="I37:I38 K37:X38 I39:X39 I4:X36">
    <cfRule type="expression" dxfId="3" priority="1">
      <formula>VALUE(I4)&lt;&gt;VALUE(#REF!)</formula>
    </cfRule>
  </conditionalFormatting>
  <pageMargins left="0.7" right="0.7" top="0.75" bottom="0.75" header="0.3" footer="0.3"/>
  <pageSetup paperSize="9" orientation="portrait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BEA2C-4FBC-4236-8121-4A693E4875B1}">
  <sheetPr codeName="Sheet3"/>
  <dimension ref="B1:CC100"/>
  <sheetViews>
    <sheetView tabSelected="1" topLeftCell="U2" zoomScaleNormal="100" workbookViewId="0">
      <selection activeCell="Z32" sqref="Z32"/>
    </sheetView>
  </sheetViews>
  <sheetFormatPr defaultRowHeight="16.5" outlineLevelCol="1"/>
  <cols>
    <col min="1" max="1" width="4.125" style="1" customWidth="1"/>
    <col min="2" max="2" width="9" style="2"/>
    <col min="3" max="3" width="18.25" style="2" customWidth="1"/>
    <col min="4" max="4" width="22.25" style="2" customWidth="1"/>
    <col min="5" max="25" width="9" style="2"/>
    <col min="26" max="26" width="12" style="42" customWidth="1"/>
    <col min="27" max="27" width="13" style="1" customWidth="1"/>
    <col min="28" max="28" width="9" style="1" customWidth="1"/>
    <col min="29" max="29" width="14.125" style="4" customWidth="1"/>
    <col min="30" max="30" width="15.375" style="4" customWidth="1"/>
    <col min="31" max="31" width="9" style="1" customWidth="1"/>
    <col min="32" max="32" width="15.375" style="2" bestFit="1" customWidth="1" outlineLevel="1"/>
    <col min="33" max="33" width="14.125" style="2" bestFit="1" customWidth="1" outlineLevel="1"/>
    <col min="34" max="34" width="5.875" style="2" bestFit="1" customWidth="1" outlineLevel="1"/>
    <col min="35" max="35" width="14.125" style="42" bestFit="1" customWidth="1" outlineLevel="1"/>
    <col min="36" max="36" width="5.875" style="2" bestFit="1" customWidth="1" outlineLevel="1"/>
    <col min="37" max="37" width="15.375" style="2" bestFit="1" customWidth="1" outlineLevel="1"/>
    <col min="38" max="38" width="14.125" style="2" bestFit="1" customWidth="1" outlineLevel="1"/>
    <col min="39" max="39" width="5.875" style="2" bestFit="1" customWidth="1" outlineLevel="1"/>
    <col min="40" max="40" width="14.125" style="42" bestFit="1" customWidth="1" outlineLevel="1"/>
    <col min="41" max="41" width="5.875" style="2" bestFit="1" customWidth="1" outlineLevel="1"/>
    <col min="42" max="42" width="15.375" style="2" bestFit="1" customWidth="1" outlineLevel="1"/>
    <col min="43" max="43" width="14.125" style="2" bestFit="1" customWidth="1" outlineLevel="1"/>
    <col min="44" max="44" width="5.875" style="2" bestFit="1" customWidth="1" outlineLevel="1"/>
    <col min="45" max="45" width="14.125" style="42" bestFit="1" customWidth="1" outlineLevel="1"/>
    <col min="46" max="46" width="5.875" style="2" bestFit="1" customWidth="1" outlineLevel="1"/>
    <col min="47" max="47" width="15.375" style="2" bestFit="1" customWidth="1" outlineLevel="1"/>
    <col min="48" max="48" width="14.125" style="2" bestFit="1" customWidth="1" outlineLevel="1"/>
    <col min="49" max="49" width="5.875" style="2" bestFit="1" customWidth="1" outlineLevel="1"/>
    <col min="50" max="50" width="14.125" style="42" bestFit="1" customWidth="1" outlineLevel="1"/>
    <col min="51" max="51" width="5.875" style="2" bestFit="1" customWidth="1" outlineLevel="1"/>
    <col min="52" max="52" width="15.375" style="2" bestFit="1" customWidth="1" outlineLevel="1"/>
    <col min="53" max="53" width="14.125" style="2" bestFit="1" customWidth="1" outlineLevel="1"/>
    <col min="54" max="54" width="5.875" style="1" bestFit="1" customWidth="1" outlineLevel="1"/>
    <col min="55" max="55" width="14.125" style="1" bestFit="1" customWidth="1" outlineLevel="1"/>
    <col min="56" max="56" width="5.875" style="1" bestFit="1" customWidth="1" outlineLevel="1"/>
    <col min="57" max="57" width="15.375" style="2" bestFit="1" customWidth="1" outlineLevel="1"/>
    <col min="58" max="58" width="14.125" style="2" bestFit="1" customWidth="1" outlineLevel="1"/>
    <col min="59" max="59" width="5.875" style="1" bestFit="1" customWidth="1" outlineLevel="1"/>
    <col min="60" max="60" width="14.125" style="1" bestFit="1" customWidth="1" outlineLevel="1"/>
    <col min="61" max="61" width="5.875" style="1" bestFit="1" customWidth="1" outlineLevel="1"/>
    <col min="62" max="62" width="15.375" style="2" bestFit="1" customWidth="1" outlineLevel="1"/>
    <col min="63" max="63" width="14.125" style="2" bestFit="1" customWidth="1" outlineLevel="1"/>
    <col min="64" max="64" width="5.875" style="1" bestFit="1" customWidth="1" outlineLevel="1"/>
    <col min="65" max="65" width="14.125" style="1" bestFit="1" customWidth="1" outlineLevel="1"/>
    <col min="66" max="66" width="5.875" style="1" bestFit="1" customWidth="1" outlineLevel="1"/>
    <col min="67" max="67" width="15.375" style="2" bestFit="1" customWidth="1" outlineLevel="1"/>
    <col min="68" max="68" width="14.125" style="2" bestFit="1" customWidth="1" outlineLevel="1"/>
    <col min="69" max="69" width="5.875" style="1" bestFit="1" customWidth="1" outlineLevel="1"/>
    <col min="70" max="70" width="14.125" style="1" bestFit="1" customWidth="1" outlineLevel="1"/>
    <col min="71" max="71" width="5.875" style="1" bestFit="1" customWidth="1" outlineLevel="1"/>
    <col min="72" max="72" width="15.375" style="2" bestFit="1" customWidth="1" outlineLevel="1"/>
    <col min="73" max="73" width="14.125" style="2" bestFit="1" customWidth="1" outlineLevel="1"/>
    <col min="74" max="74" width="5.875" style="1" bestFit="1" customWidth="1" outlineLevel="1"/>
    <col min="75" max="75" width="14.125" style="1" bestFit="1" customWidth="1" outlineLevel="1"/>
    <col min="76" max="76" width="5.875" style="1" bestFit="1" customWidth="1" outlineLevel="1"/>
    <col min="77" max="77" width="15.375" style="2" bestFit="1" customWidth="1" outlineLevel="1"/>
    <col min="78" max="78" width="14.125" style="2" bestFit="1" customWidth="1" outlineLevel="1"/>
    <col min="79" max="79" width="5.875" style="1" bestFit="1" customWidth="1" outlineLevel="1"/>
    <col min="80" max="80" width="14.125" style="1" bestFit="1" customWidth="1" outlineLevel="1"/>
    <col min="81" max="81" width="5.875" style="1" bestFit="1" customWidth="1" outlineLevel="1"/>
    <col min="82" max="16384" width="9" style="1"/>
  </cols>
  <sheetData>
    <row r="1" spans="2:81" hidden="1"/>
    <row r="2" spans="2:81" ht="18.75" customHeight="1" thickBot="1">
      <c r="AF2" s="119" t="s">
        <v>86</v>
      </c>
      <c r="AG2" s="120"/>
      <c r="AH2" s="120"/>
      <c r="AI2" s="120"/>
      <c r="AJ2" s="120"/>
      <c r="AK2" s="119" t="s">
        <v>114</v>
      </c>
      <c r="AL2" s="120"/>
      <c r="AM2" s="120"/>
      <c r="AN2" s="120"/>
      <c r="AO2" s="120"/>
      <c r="AP2" s="119" t="s">
        <v>115</v>
      </c>
      <c r="AQ2" s="120"/>
      <c r="AR2" s="120"/>
      <c r="AS2" s="120"/>
      <c r="AT2" s="120"/>
      <c r="AU2" s="119" t="s">
        <v>116</v>
      </c>
      <c r="AV2" s="120"/>
      <c r="AW2" s="120"/>
      <c r="AX2" s="120"/>
      <c r="AY2" s="120"/>
      <c r="AZ2" s="119" t="s">
        <v>87</v>
      </c>
      <c r="BA2" s="120"/>
      <c r="BB2" s="120"/>
      <c r="BC2" s="120"/>
      <c r="BD2" s="120"/>
      <c r="BE2" s="119" t="s">
        <v>88</v>
      </c>
      <c r="BF2" s="120"/>
      <c r="BG2" s="120"/>
      <c r="BH2" s="120"/>
      <c r="BI2" s="120"/>
      <c r="BJ2" s="119" t="s">
        <v>89</v>
      </c>
      <c r="BK2" s="120"/>
      <c r="BL2" s="120"/>
      <c r="BM2" s="120"/>
      <c r="BN2" s="120"/>
      <c r="BO2" s="119" t="s">
        <v>90</v>
      </c>
      <c r="BP2" s="120"/>
      <c r="BQ2" s="120"/>
      <c r="BR2" s="120"/>
      <c r="BS2" s="120"/>
      <c r="BT2" s="119" t="s">
        <v>91</v>
      </c>
      <c r="BU2" s="120"/>
      <c r="BV2" s="120"/>
      <c r="BW2" s="120"/>
      <c r="BX2" s="120"/>
      <c r="BY2" s="119" t="s">
        <v>92</v>
      </c>
      <c r="BZ2" s="120"/>
      <c r="CA2" s="120"/>
      <c r="CB2" s="120"/>
      <c r="CC2" s="120"/>
    </row>
    <row r="3" spans="2:81" ht="24.75" customHeight="1" thickTop="1" thickBot="1">
      <c r="B3" s="127" t="s">
        <v>0</v>
      </c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6"/>
      <c r="R3" s="92"/>
      <c r="S3" s="92"/>
      <c r="T3" s="92"/>
      <c r="U3" s="92"/>
      <c r="V3" s="92"/>
      <c r="W3" s="124" t="s">
        <v>1</v>
      </c>
      <c r="X3" s="125"/>
      <c r="Y3" s="126"/>
      <c r="AF3" s="65" t="s">
        <v>2</v>
      </c>
      <c r="AG3" s="121" t="s">
        <v>3</v>
      </c>
      <c r="AH3" s="122"/>
      <c r="AI3" s="123" t="s">
        <v>4</v>
      </c>
      <c r="AJ3" s="122"/>
      <c r="AK3" s="65" t="s">
        <v>2</v>
      </c>
      <c r="AL3" s="121" t="s">
        <v>3</v>
      </c>
      <c r="AM3" s="122"/>
      <c r="AN3" s="123" t="s">
        <v>4</v>
      </c>
      <c r="AO3" s="122"/>
      <c r="AP3" s="65" t="s">
        <v>2</v>
      </c>
      <c r="AQ3" s="121" t="s">
        <v>3</v>
      </c>
      <c r="AR3" s="122"/>
      <c r="AS3" s="123" t="s">
        <v>4</v>
      </c>
      <c r="AT3" s="122"/>
      <c r="AU3" s="65" t="s">
        <v>2</v>
      </c>
      <c r="AV3" s="121" t="s">
        <v>3</v>
      </c>
      <c r="AW3" s="122"/>
      <c r="AX3" s="123" t="s">
        <v>4</v>
      </c>
      <c r="AY3" s="122"/>
      <c r="AZ3" s="65" t="s">
        <v>2</v>
      </c>
      <c r="BA3" s="121" t="s">
        <v>3</v>
      </c>
      <c r="BB3" s="122"/>
      <c r="BC3" s="123" t="s">
        <v>4</v>
      </c>
      <c r="BD3" s="122"/>
      <c r="BE3" s="65" t="s">
        <v>2</v>
      </c>
      <c r="BF3" s="121" t="s">
        <v>3</v>
      </c>
      <c r="BG3" s="122"/>
      <c r="BH3" s="123" t="s">
        <v>4</v>
      </c>
      <c r="BI3" s="122"/>
      <c r="BJ3" s="65" t="s">
        <v>2</v>
      </c>
      <c r="BK3" s="121" t="s">
        <v>3</v>
      </c>
      <c r="BL3" s="122"/>
      <c r="BM3" s="123" t="s">
        <v>4</v>
      </c>
      <c r="BN3" s="122"/>
      <c r="BO3" s="65" t="s">
        <v>2</v>
      </c>
      <c r="BP3" s="121" t="s">
        <v>3</v>
      </c>
      <c r="BQ3" s="122"/>
      <c r="BR3" s="123" t="s">
        <v>4</v>
      </c>
      <c r="BS3" s="122"/>
      <c r="BT3" s="65" t="s">
        <v>2</v>
      </c>
      <c r="BU3" s="121" t="s">
        <v>3</v>
      </c>
      <c r="BV3" s="122"/>
      <c r="BW3" s="123" t="s">
        <v>4</v>
      </c>
      <c r="BX3" s="122"/>
      <c r="BY3" s="65" t="s">
        <v>2</v>
      </c>
      <c r="BZ3" s="121" t="s">
        <v>3</v>
      </c>
      <c r="CA3" s="122"/>
      <c r="CB3" s="123" t="s">
        <v>4</v>
      </c>
      <c r="CC3" s="122"/>
    </row>
    <row r="4" spans="2:81" ht="17.25" customHeight="1" thickTop="1">
      <c r="B4" s="5" t="s">
        <v>6</v>
      </c>
      <c r="C4" s="109" t="s">
        <v>7</v>
      </c>
      <c r="D4" s="110"/>
      <c r="E4" s="10" t="s">
        <v>8</v>
      </c>
      <c r="F4" s="10" t="s">
        <v>9</v>
      </c>
      <c r="G4" s="10" t="s">
        <v>10</v>
      </c>
      <c r="H4" s="10" t="s">
        <v>11</v>
      </c>
      <c r="I4" s="10" t="s">
        <v>12</v>
      </c>
      <c r="J4" s="10" t="s">
        <v>13</v>
      </c>
      <c r="K4" s="10" t="s">
        <v>14</v>
      </c>
      <c r="L4" s="10" t="s">
        <v>15</v>
      </c>
      <c r="M4" s="10" t="s">
        <v>16</v>
      </c>
      <c r="N4" s="10" t="s">
        <v>17</v>
      </c>
      <c r="O4" s="10" t="s">
        <v>18</v>
      </c>
      <c r="P4" s="39" t="s">
        <v>19</v>
      </c>
      <c r="Q4" s="40" t="s">
        <v>20</v>
      </c>
      <c r="R4" s="93"/>
      <c r="S4" s="93"/>
      <c r="T4" s="93"/>
      <c r="U4" s="93"/>
      <c r="V4" s="93"/>
      <c r="W4" s="43" t="s">
        <v>21</v>
      </c>
      <c r="X4" s="44" t="s">
        <v>22</v>
      </c>
      <c r="Y4" s="44" t="s">
        <v>23</v>
      </c>
      <c r="AB4" s="90" t="s">
        <v>145</v>
      </c>
      <c r="AC4" s="90" t="s">
        <v>146</v>
      </c>
      <c r="AD4" s="90" t="s">
        <v>147</v>
      </c>
      <c r="AF4" s="66"/>
      <c r="AG4" s="70" t="str">
        <f t="shared" ref="AG4" si="0">TRIM(SUBSTITUTE(AF4,AH4,"",1))</f>
        <v/>
      </c>
      <c r="AH4" s="70" t="str">
        <f t="array" ref="AH4">IFERROR(TRIM(_xlfn.REGEXEXTRACT(AF4,"(\d.+[%]?$|[0-9]|[A-Z]+$)")),"")</f>
        <v/>
      </c>
      <c r="AI4" s="71" t="str">
        <f>IFERROR(VLOOKUP(AG4,'사용자가 입력할 시트'!$AF$2:$AG$60,2,FALSE),AG4)</f>
        <v/>
      </c>
      <c r="AJ4" s="72" t="str">
        <f t="array" ref="AJ4">IFERROR(TRIM(_xlfn.REGEXEXTRACT(AH4,"(\d+[%]?$|[A-Z]+$)")),"")</f>
        <v/>
      </c>
      <c r="AK4" s="66"/>
      <c r="AL4" s="70" t="str">
        <f t="shared" ref="AL4" si="1">TRIM(SUBSTITUTE(AK4,AM4,"",1))</f>
        <v/>
      </c>
      <c r="AM4" s="70" t="str">
        <f t="array" ref="AM4">IFERROR(TRIM(_xlfn.REGEXEXTRACT(AK4,"(\d.+[%]?$|[0-9]|[A-Z]+$)")),"")</f>
        <v/>
      </c>
      <c r="AN4" s="71" t="str">
        <f>IFERROR(VLOOKUP(AL4,'사용자가 입력할 시트'!$AF$2:$AG$60,2,FALSE),AL4)</f>
        <v/>
      </c>
      <c r="AO4" s="72" t="str">
        <f t="array" ref="AO4">IFERROR(TRIM(_xlfn.REGEXEXTRACT(AM4,"(\d+[%]?$|[A-Z]+$)")),"")</f>
        <v/>
      </c>
      <c r="AP4" s="66"/>
      <c r="AQ4" s="70" t="str">
        <f t="shared" ref="AQ4" si="2">TRIM(SUBSTITUTE(AP4,AR4,"",1))</f>
        <v/>
      </c>
      <c r="AR4" s="70" t="str">
        <f t="array" ref="AR4">IFERROR(TRIM(_xlfn.REGEXEXTRACT(AP4,"(\d.+[%]?$|[0-9]|[A-Z]+$)")),"")</f>
        <v/>
      </c>
      <c r="AS4" s="71" t="str">
        <f>IFERROR(VLOOKUP(AQ4,'사용자가 입력할 시트'!$AF$2:$AG$60,2,FALSE),AQ4)</f>
        <v/>
      </c>
      <c r="AT4" s="72" t="str">
        <f t="array" ref="AT4">IFERROR(TRIM(_xlfn.REGEXEXTRACT(AR4,"(\d+[%]?$|[A-Z]+$)")),"")</f>
        <v/>
      </c>
      <c r="AU4" s="66"/>
      <c r="AV4" s="70" t="str">
        <f t="shared" ref="AV4" si="3">TRIM(SUBSTITUTE(AU4,AW4,"",1))</f>
        <v/>
      </c>
      <c r="AW4" s="70" t="str">
        <f t="array" ref="AW4">IFERROR(TRIM(_xlfn.REGEXEXTRACT(AU4,"(\d.+[%]?$|[0-9]|[A-Z]+$)")),"")</f>
        <v/>
      </c>
      <c r="AX4" s="71" t="str">
        <f>IFERROR(VLOOKUP(AV4,'사용자가 입력할 시트'!$AF$2:$AG$60,2,FALSE),AV4)</f>
        <v/>
      </c>
      <c r="AY4" s="72" t="str">
        <f t="array" ref="AY4">IFERROR(TRIM(_xlfn.REGEXEXTRACT(AW4,"(\d+[%]?$|[A-Z]+$)")),"")</f>
        <v/>
      </c>
      <c r="AZ4" s="66"/>
      <c r="BA4" s="70" t="str">
        <f t="shared" ref="BA4" si="4">TRIM(SUBSTITUTE(AZ4,BB4,"",1))</f>
        <v/>
      </c>
      <c r="BB4" s="70" t="str">
        <f t="array" ref="BB4">IFERROR(TRIM(_xlfn.REGEXEXTRACT(AZ4,"(\d.+[%]?$|[0-9]|[A-Z]+$)")),"")</f>
        <v/>
      </c>
      <c r="BC4" s="71" t="str">
        <f>IFERROR(VLOOKUP(BA4,'사용자가 입력할 시트'!$AF$2:$AG$60,2,FALSE),BA4)</f>
        <v/>
      </c>
      <c r="BD4" s="72" t="str">
        <f t="array" ref="BD4">IFERROR(TRIM(_xlfn.REGEXEXTRACT(BB4,"(\d+[%]?$|[A-Z]+$)")),"")</f>
        <v/>
      </c>
      <c r="BE4" s="66"/>
      <c r="BF4" s="70" t="str">
        <f t="shared" ref="BF4" si="5">TRIM(SUBSTITUTE(BE4,BG4,"",1))</f>
        <v/>
      </c>
      <c r="BG4" s="70" t="str">
        <f t="array" ref="BG4">IFERROR(TRIM(_xlfn.REGEXEXTRACT(BE4,"(\d.+[%]?$|[0-9]|[A-Z]+$)")),"")</f>
        <v/>
      </c>
      <c r="BH4" s="71" t="str">
        <f>IFERROR(VLOOKUP(BF4,'사용자가 입력할 시트'!$AF$2:$AG$60,2,FALSE),BF4)</f>
        <v/>
      </c>
      <c r="BI4" s="72" t="str">
        <f t="array" ref="BI4">IFERROR(TRIM(_xlfn.REGEXEXTRACT(BG4,"(\d+[%]?$|[A-Z]+$)")),"")</f>
        <v/>
      </c>
      <c r="BJ4" s="66"/>
      <c r="BK4" s="70" t="str">
        <f t="shared" ref="BK4" si="6">TRIM(SUBSTITUTE(BJ4,BL4,"",1))</f>
        <v/>
      </c>
      <c r="BL4" s="70" t="str">
        <f t="array" ref="BL4">IFERROR(TRIM(_xlfn.REGEXEXTRACT(BJ4,"(\d.+[%]?$|[0-9]|[A-Z]+$)")),"")</f>
        <v/>
      </c>
      <c r="BM4" s="71" t="str">
        <f>IFERROR(VLOOKUP(BK4,'사용자가 입력할 시트'!$AF$2:$AG$60,2,FALSE),BK4)</f>
        <v/>
      </c>
      <c r="BN4" s="72" t="str">
        <f t="array" ref="BN4">IFERROR(TRIM(_xlfn.REGEXEXTRACT(BL4,"(\d+[%]?$|[A-Z]+$)")),"")</f>
        <v/>
      </c>
      <c r="BO4" s="66"/>
      <c r="BP4" s="70" t="str">
        <f t="shared" ref="BP4" si="7">TRIM(SUBSTITUTE(BO4,BQ4,"",1))</f>
        <v/>
      </c>
      <c r="BQ4" s="70" t="str">
        <f t="array" ref="BQ4">IFERROR(TRIM(_xlfn.REGEXEXTRACT(BO4,"(\d.+[%]?$|[0-9]|[A-Z]+$)")),"")</f>
        <v/>
      </c>
      <c r="BR4" s="71" t="str">
        <f>IFERROR(VLOOKUP(BP4,'사용자가 입력할 시트'!$AF$2:$AG$60,2,FALSE),BP4)</f>
        <v/>
      </c>
      <c r="BS4" s="72" t="str">
        <f t="array" ref="BS4">IFERROR(TRIM(_xlfn.REGEXEXTRACT(BQ4,"(\d+[%]?$|[A-Z]+$)")),"")</f>
        <v/>
      </c>
      <c r="BT4" s="66"/>
      <c r="BU4" s="70" t="str">
        <f t="shared" ref="BU4" si="8">TRIM(SUBSTITUTE(BT4,BV4,"",1))</f>
        <v/>
      </c>
      <c r="BV4" s="70" t="str">
        <f t="array" ref="BV4">IFERROR(TRIM(_xlfn.REGEXEXTRACT(BT4,"(\d.+[%]?$|[0-9]|[A-Z]+$)")),"")</f>
        <v/>
      </c>
      <c r="BW4" s="71" t="str">
        <f>IFERROR(VLOOKUP(BU4,'사용자가 입력할 시트'!$AF$2:$AG$60,2,FALSE),BU4)</f>
        <v/>
      </c>
      <c r="BX4" s="72" t="str">
        <f t="array" ref="BX4">IFERROR(TRIM(_xlfn.REGEXEXTRACT(BV4,"(\d+[%]?$|[A-Z]+$)")),"")</f>
        <v/>
      </c>
      <c r="BY4" s="66"/>
      <c r="BZ4" s="70" t="str">
        <f t="shared" ref="BZ4" si="9">TRIM(SUBSTITUTE(BY4,CA4,"",1))</f>
        <v/>
      </c>
      <c r="CA4" s="70" t="str">
        <f t="array" ref="CA4">IFERROR(TRIM(_xlfn.REGEXEXTRACT(BY4,"(\d.+[%]?$|[0-9]|[A-Z]+$)")),"")</f>
        <v/>
      </c>
      <c r="CB4" s="71" t="str">
        <f>IFERROR(VLOOKUP(BZ4,'사용자가 입력할 시트'!$AF$2:$AG$60,2,FALSE),BZ4)</f>
        <v/>
      </c>
      <c r="CC4" s="72" t="str">
        <f t="array" ref="CC4">IFERROR(TRIM(_xlfn.REGEXEXTRACT(CA4,"(\d+[%]?$|[A-Z]+$)")),"")</f>
        <v/>
      </c>
    </row>
    <row r="5" spans="2:81">
      <c r="B5" s="111" t="s">
        <v>164</v>
      </c>
      <c r="C5" s="114" t="s">
        <v>24</v>
      </c>
      <c r="D5" s="6"/>
      <c r="E5" s="11"/>
      <c r="F5" s="11"/>
      <c r="G5" s="11"/>
      <c r="H5" s="11"/>
      <c r="I5" s="57"/>
      <c r="J5" s="12"/>
      <c r="K5" s="12"/>
      <c r="L5" s="13"/>
      <c r="M5" s="12"/>
      <c r="N5" s="12"/>
      <c r="O5" s="13"/>
      <c r="P5" s="14"/>
      <c r="Q5" s="15"/>
      <c r="W5" s="2" t="str">
        <f ca="1">IFERROR(VLOOKUP(W$4,INDIRECT($AD6),2,FALSE),"")</f>
        <v>S</v>
      </c>
      <c r="X5" s="2" t="str">
        <f ca="1">IFERROR(VLOOKUP(X$4,INDIRECT($AD6),2,FALSE),"")</f>
        <v>D</v>
      </c>
      <c r="Y5" s="2" t="str">
        <f ca="1">IFERROR(VLOOKUP(Y$4,INDIRECT($AD6),2,FALSE),"")</f>
        <v>B</v>
      </c>
      <c r="Z5" s="42" t="str">
        <f ca="1">IF(W5="","",$W$4&amp;" :"&amp;W5&amp;IF(W5=W6,"","("&amp;W6&amp;")"))</f>
        <v>시가 :S(SS)</v>
      </c>
      <c r="AB5" s="1" t="s">
        <v>149</v>
      </c>
      <c r="AC5" s="4" t="s">
        <v>148</v>
      </c>
      <c r="AD5" s="4" t="s">
        <v>26</v>
      </c>
      <c r="AE5" s="3"/>
      <c r="AF5" s="67" t="s">
        <v>140</v>
      </c>
      <c r="AG5" s="70" t="str">
        <f>IF(ISNUMBER(SEARCH("≪",AF5)),AF5,TRIM(SUBSTITUTE(AF5,AH5,"",1)))</f>
        <v>≪★3 / 1레벨≫</v>
      </c>
      <c r="AH5" s="70" t="str">
        <f t="array" ref="AH5">IFERROR(TRIM(_xlfn.REGEXEXTRACT(AF5,"(\d.+[%]?$|[0-9]|[A-Z]+$)")),"")</f>
        <v>3 / 1레벨≫</v>
      </c>
      <c r="AI5" s="71" t="str">
        <f>IFERROR(VLOOKUP(AG5,'사용자가 입력할 시트'!$AF$2:$AG$60,2,FALSE),AG5)</f>
        <v>≪★3 / 1레벨≫</v>
      </c>
      <c r="AJ5" s="72" t="str">
        <f t="array" ref="AJ5">IFERROR(TRIM(_xlfn.REGEXEXTRACT(AH5,"(\d+[%]?$|[A-Z]+$)")),"")</f>
        <v/>
      </c>
      <c r="AK5" s="67" t="s">
        <v>140</v>
      </c>
      <c r="AL5" s="70" t="str">
        <f>IF(ISNUMBER(SEARCH("≪",AK5)),AK5,TRIM(SUBSTITUTE(AK5,AM5,"",1)))</f>
        <v>≪★3 / 1레벨≫</v>
      </c>
      <c r="AM5" s="70" t="str">
        <f t="array" ref="AM5">IFERROR(TRIM(_xlfn.REGEXEXTRACT(AK5,"(\d.+[%]?$|[0-9]|[A-Z]+$)")),"")</f>
        <v>3 / 1레벨≫</v>
      </c>
      <c r="AN5" s="71" t="str">
        <f>IFERROR(VLOOKUP(AL5,'사용자가 입력할 시트'!$AF$2:$AG$60,2,FALSE),AL5)</f>
        <v>≪★3 / 1레벨≫</v>
      </c>
      <c r="AO5" s="72" t="str">
        <f t="array" ref="AO5">IFERROR(TRIM(_xlfn.REGEXEXTRACT(AM5,"(\d+[%]?$|[A-Z]+$)")),"")</f>
        <v/>
      </c>
      <c r="AP5" s="67" t="s">
        <v>140</v>
      </c>
      <c r="AQ5" s="70" t="str">
        <f>IF(ISNUMBER(SEARCH("≪",AP5)),AP5,TRIM(SUBSTITUTE(AP5,AR5,"",1)))</f>
        <v>≪★3 / 1레벨≫</v>
      </c>
      <c r="AR5" s="70" t="str">
        <f t="array" ref="AR5">IFERROR(TRIM(_xlfn.REGEXEXTRACT(AP5,"(\d.+[%]?$|[0-9]|[A-Z]+$)")),"")</f>
        <v>3 / 1레벨≫</v>
      </c>
      <c r="AS5" s="71" t="str">
        <f>IFERROR(VLOOKUP(AQ5,'사용자가 입력할 시트'!$AF$2:$AG$60,2,FALSE),AQ5)</f>
        <v>≪★3 / 1레벨≫</v>
      </c>
      <c r="AT5" s="72" t="str">
        <f t="array" ref="AT5">IFERROR(TRIM(_xlfn.REGEXEXTRACT(AR5,"(\d+[%]?$|[A-Z]+$)")),"")</f>
        <v/>
      </c>
      <c r="AU5" s="67" t="s">
        <v>140</v>
      </c>
      <c r="AV5" s="70" t="str">
        <f>IF(ISNUMBER(SEARCH("≪",AU5)),AU5,TRIM(SUBSTITUTE(AU5,AW5,"",1)))</f>
        <v>≪★3 / 1레벨≫</v>
      </c>
      <c r="AW5" s="70" t="str">
        <f t="array" ref="AW5">IFERROR(TRIM(_xlfn.REGEXEXTRACT(AU5,"(\d.+[%]?$|[0-9]|[A-Z]+$)")),"")</f>
        <v>3 / 1레벨≫</v>
      </c>
      <c r="AX5" s="71" t="str">
        <f>IFERROR(VLOOKUP(AV5,'사용자가 입력할 시트'!$AF$2:$AG$60,2,FALSE),AV5)</f>
        <v>≪★3 / 1레벨≫</v>
      </c>
      <c r="AY5" s="72" t="str">
        <f t="array" ref="AY5">IFERROR(TRIM(_xlfn.REGEXEXTRACT(AW5,"(\d+[%]?$|[A-Z]+$)")),"")</f>
        <v/>
      </c>
      <c r="AZ5" s="67" t="s">
        <v>140</v>
      </c>
      <c r="BA5" s="70" t="str">
        <f>IF(ISNUMBER(SEARCH("≪",AZ5)),AZ5,TRIM(SUBSTITUTE(AZ5,BB5,"",1)))</f>
        <v>≪★3 / 1레벨≫</v>
      </c>
      <c r="BB5" s="70" t="str">
        <f t="array" ref="BB5">IFERROR(TRIM(_xlfn.REGEXEXTRACT(AZ5,"(\d.+[%]?$|[0-9]|[A-Z]+$)")),"")</f>
        <v>3 / 1레벨≫</v>
      </c>
      <c r="BC5" s="71" t="str">
        <f>IFERROR(VLOOKUP(BA5,'사용자가 입력할 시트'!$AF$2:$AG$60,2,FALSE),BA5)</f>
        <v>≪★3 / 1레벨≫</v>
      </c>
      <c r="BD5" s="72" t="str">
        <f t="array" ref="BD5">IFERROR(TRIM(_xlfn.REGEXEXTRACT(BB5,"(\d+[%]?$|[A-Z]+$)")),"")</f>
        <v/>
      </c>
      <c r="BE5" s="67" t="s">
        <v>140</v>
      </c>
      <c r="BF5" s="70" t="str">
        <f>IF(ISNUMBER(SEARCH("≪",BE5)),BE5,TRIM(SUBSTITUTE(BE5,BG5,"",1)))</f>
        <v>≪★3 / 1레벨≫</v>
      </c>
      <c r="BG5" s="70" t="str">
        <f t="array" ref="BG5">IFERROR(TRIM(_xlfn.REGEXEXTRACT(BE5,"(\d.+[%]?$|[0-9]|[A-Z]+$)")),"")</f>
        <v>3 / 1레벨≫</v>
      </c>
      <c r="BH5" s="71" t="str">
        <f>IFERROR(VLOOKUP(BF5,'사용자가 입력할 시트'!$AF$2:$AG$60,2,FALSE),BF5)</f>
        <v>≪★3 / 1레벨≫</v>
      </c>
      <c r="BI5" s="72" t="str">
        <f t="array" ref="BI5">IFERROR(TRIM(_xlfn.REGEXEXTRACT(BG5,"(\d+[%]?$|[A-Z]+$)")),"")</f>
        <v/>
      </c>
      <c r="BJ5" s="67" t="s">
        <v>140</v>
      </c>
      <c r="BK5" s="70" t="str">
        <f>IF(ISNUMBER(SEARCH("≪",BJ5)),BJ5,TRIM(SUBSTITUTE(BJ5,BL5,"",1)))</f>
        <v>≪★3 / 1레벨≫</v>
      </c>
      <c r="BL5" s="70" t="str">
        <f t="array" ref="BL5">IFERROR(TRIM(_xlfn.REGEXEXTRACT(BJ5,"(\d.+[%]?$|[0-9]|[A-Z]+$)")),"")</f>
        <v>3 / 1레벨≫</v>
      </c>
      <c r="BM5" s="71" t="str">
        <f>IFERROR(VLOOKUP(BK5,'사용자가 입력할 시트'!$AF$2:$AG$60,2,FALSE),BK5)</f>
        <v>≪★3 / 1레벨≫</v>
      </c>
      <c r="BN5" s="72" t="str">
        <f t="array" ref="BN5">IFERROR(TRIM(_xlfn.REGEXEXTRACT(BL5,"(\d+[%]?$|[A-Z]+$)")),"")</f>
        <v/>
      </c>
      <c r="BO5" s="67" t="s">
        <v>140</v>
      </c>
      <c r="BP5" s="70" t="str">
        <f>IF(ISNUMBER(SEARCH("≪",BO5)),BO5,TRIM(SUBSTITUTE(BO5,BQ5,"",1)))</f>
        <v>≪★3 / 1레벨≫</v>
      </c>
      <c r="BQ5" s="70" t="str">
        <f t="array" ref="BQ5">IFERROR(TRIM(_xlfn.REGEXEXTRACT(BO5,"(\d.+[%]?$|[0-9]|[A-Z]+$)")),"")</f>
        <v>3 / 1레벨≫</v>
      </c>
      <c r="BR5" s="71" t="str">
        <f>IFERROR(VLOOKUP(BP5,'사용자가 입력할 시트'!$AF$2:$AG$60,2,FALSE),BP5)</f>
        <v>≪★3 / 1레벨≫</v>
      </c>
      <c r="BS5" s="72" t="str">
        <f t="array" ref="BS5">IFERROR(TRIM(_xlfn.REGEXEXTRACT(BQ5,"(\d+[%]?$|[A-Z]+$)")),"")</f>
        <v/>
      </c>
      <c r="BT5" s="67" t="s">
        <v>140</v>
      </c>
      <c r="BU5" s="70" t="str">
        <f>IF(ISNUMBER(SEARCH("≪",BT5)),BT5,TRIM(SUBSTITUTE(BT5,BV5,"",1)))</f>
        <v>≪★3 / 1레벨≫</v>
      </c>
      <c r="BV5" s="70" t="str">
        <f t="array" ref="BV5">IFERROR(TRIM(_xlfn.REGEXEXTRACT(BT5,"(\d.+[%]?$|[0-9]|[A-Z]+$)")),"")</f>
        <v>3 / 1레벨≫</v>
      </c>
      <c r="BW5" s="71" t="str">
        <f>IFERROR(VLOOKUP(BU5,'사용자가 입력할 시트'!$AF$2:$AG$60,2,FALSE),BU5)</f>
        <v>≪★3 / 1레벨≫</v>
      </c>
      <c r="BX5" s="72" t="str">
        <f t="array" ref="BX5">IFERROR(TRIM(_xlfn.REGEXEXTRACT(BV5,"(\d+[%]?$|[A-Z]+$)")),"")</f>
        <v/>
      </c>
      <c r="BY5" s="67" t="s">
        <v>140</v>
      </c>
      <c r="BZ5" s="70" t="str">
        <f>IF(ISNUMBER(SEARCH("≪",BY5)),BY5,TRIM(SUBSTITUTE(BY5,CA5,"",1)))</f>
        <v>≪★3 / 1레벨≫</v>
      </c>
      <c r="CA5" s="70" t="str">
        <f t="array" ref="CA5">IFERROR(TRIM(_xlfn.REGEXEXTRACT(BY5,"(\d.+[%]?$|[0-9]|[A-Z]+$)")),"")</f>
        <v>3 / 1레벨≫</v>
      </c>
      <c r="CB5" s="71" t="str">
        <f>IFERROR(VLOOKUP(BZ5,'사용자가 입력할 시트'!$AF$2:$AG$60,2,FALSE),BZ5)</f>
        <v>≪★3 / 1레벨≫</v>
      </c>
      <c r="CC5" s="72" t="str">
        <f t="array" ref="CC5">IFERROR(TRIM(_xlfn.REGEXEXTRACT(CA5,"(\d+[%]?$|[A-Z]+$)")),"")</f>
        <v/>
      </c>
    </row>
    <row r="6" spans="2:81">
      <c r="B6" s="112"/>
      <c r="C6" s="101"/>
      <c r="D6" s="16"/>
      <c r="E6" s="17"/>
      <c r="F6" s="17"/>
      <c r="G6" s="17"/>
      <c r="H6" s="18"/>
      <c r="I6" s="17"/>
      <c r="J6" s="17"/>
      <c r="K6" s="17"/>
      <c r="L6" s="17"/>
      <c r="M6" s="17"/>
      <c r="N6" s="17"/>
      <c r="O6" s="18"/>
      <c r="P6" s="19"/>
      <c r="Q6" s="20"/>
      <c r="W6" s="2" t="str">
        <f t="shared" ref="W6:W69" ca="1" si="10">IFERROR(VLOOKUP(W$4,INDIRECT($AD7),2,FALSE),"")</f>
        <v>SS</v>
      </c>
      <c r="X6" s="2" t="str">
        <f t="shared" ref="X6:X69" ca="1" si="11">IFERROR(VLOOKUP(X$4,INDIRECT($AD7),2,FALSE),"")</f>
        <v>D</v>
      </c>
      <c r="Y6" s="2" t="str">
        <f t="shared" ref="Y6:Y69" ca="1" si="12">IFERROR(VLOOKUP(Y$4,INDIRECT($AD7),2,FALSE),"")</f>
        <v>B</v>
      </c>
      <c r="Z6" s="42" t="str">
        <f ca="1">IF(X5="","",$X$4&amp;" :"&amp;X5&amp;IF(X5=X6,"","("&amp;X6&amp;")"))</f>
        <v>실내 :D</v>
      </c>
      <c r="AB6" s="74" t="s">
        <v>182</v>
      </c>
      <c r="AC6" s="42" t="s">
        <v>183</v>
      </c>
      <c r="AD6" s="4" t="str">
        <f>_xlfn.LET(_xlpm.titleCell, MATCH($AC$6, AI:AI, 0),_xlpm.nextTitleCell, IFERROR(_xlfn.AGGREGATE(15, 6, ROW($AI$2:$AI$100)/(LEFT($AI$2:$AI$100,1)="≪")/(ROW($AI$2:$AI$100)&gt;_xlpm.titleCell), 1), ROWS(AI:AI)+1),_xlpm.startRow, _xlpm.titleCell + 1,_xlpm.endRow, _xlpm.nextTitleCell - 1,_xlpm.colStart, COLUMN($AI$2),_xlpm.colEnd, _xlpm.colStart + 1,ADDRESS(_xlpm.startRow, _xlpm.colStart) &amp; ":" &amp; ADDRESS(_xlpm.endRow, _xlpm.colEnd))</f>
        <v>$AI$6:$AJ$25</v>
      </c>
      <c r="AF6" s="67" t="s">
        <v>94</v>
      </c>
      <c r="AG6" s="70" t="str">
        <f t="shared" ref="AG6:AG69" si="13">IF(ISNUMBER(SEARCH("≪",AF6)),AF6,TRIM(SUBSTITUTE(AF6,AH6,"",1)))</f>
        <v>HP</v>
      </c>
      <c r="AH6" s="70" t="str">
        <f t="array" ref="AH6">IFERROR(TRIM(_xlfn.REGEXEXTRACT(AF6,"(\d.+[%]?$|[0-9]|[A-Z]+$)")),"")</f>
        <v>2396</v>
      </c>
      <c r="AI6" s="71" t="str">
        <f>IFERROR(VLOOKUP(AG6,'사용자가 입력할 시트'!$AF$2:$AG$60,2,FALSE),AG6)</f>
        <v>체력</v>
      </c>
      <c r="AJ6" s="72" t="str">
        <f t="array" ref="AJ6">IFERROR(TRIM(_xlfn.REGEXEXTRACT(AH6,"(\d+[%]?$|[A-Z]+$)")),"")</f>
        <v>2396</v>
      </c>
      <c r="AK6" s="67" t="s">
        <v>94</v>
      </c>
      <c r="AL6" s="70" t="str">
        <f t="shared" ref="AL6:AL69" si="14">IF(ISNUMBER(SEARCH("≪",AK6)),AK6,TRIM(SUBSTITUTE(AK6,AM6,"",1)))</f>
        <v>HP</v>
      </c>
      <c r="AM6" s="70" t="str">
        <f t="array" ref="AM6">IFERROR(TRIM(_xlfn.REGEXEXTRACT(AK6,"(\d.+[%]?$|[0-9]|[A-Z]+$)")),"")</f>
        <v>2396</v>
      </c>
      <c r="AN6" s="71" t="str">
        <f>IFERROR(VLOOKUP(AL6,'사용자가 입력할 시트'!$AF$2:$AG$60,2,FALSE),AL6)</f>
        <v>체력</v>
      </c>
      <c r="AO6" s="72" t="str">
        <f t="array" ref="AO6">IFERROR(TRIM(_xlfn.REGEXEXTRACT(AM6,"(\d+[%]?$|[A-Z]+$)")),"")</f>
        <v>2396</v>
      </c>
      <c r="AP6" s="67" t="s">
        <v>94</v>
      </c>
      <c r="AQ6" s="70" t="str">
        <f t="shared" ref="AQ6:AQ69" si="15">IF(ISNUMBER(SEARCH("≪",AP6)),AP6,TRIM(SUBSTITUTE(AP6,AR6,"",1)))</f>
        <v>HP</v>
      </c>
      <c r="AR6" s="70" t="str">
        <f t="array" ref="AR6">IFERROR(TRIM(_xlfn.REGEXEXTRACT(AP6,"(\d.+[%]?$|[0-9]|[A-Z]+$)")),"")</f>
        <v>2396</v>
      </c>
      <c r="AS6" s="71" t="str">
        <f>IFERROR(VLOOKUP(AQ6,'사용자가 입력할 시트'!$AF$2:$AG$60,2,FALSE),AQ6)</f>
        <v>체력</v>
      </c>
      <c r="AT6" s="72" t="str">
        <f t="array" ref="AT6">IFERROR(TRIM(_xlfn.REGEXEXTRACT(AR6,"(\d+[%]?$|[A-Z]+$)")),"")</f>
        <v>2396</v>
      </c>
      <c r="AU6" s="67" t="s">
        <v>94</v>
      </c>
      <c r="AV6" s="70" t="str">
        <f t="shared" ref="AV6:AV69" si="16">IF(ISNUMBER(SEARCH("≪",AU6)),AU6,TRIM(SUBSTITUTE(AU6,AW6,"",1)))</f>
        <v>HP</v>
      </c>
      <c r="AW6" s="70" t="str">
        <f t="array" ref="AW6">IFERROR(TRIM(_xlfn.REGEXEXTRACT(AU6,"(\d.+[%]?$|[0-9]|[A-Z]+$)")),"")</f>
        <v>2396</v>
      </c>
      <c r="AX6" s="71" t="str">
        <f>IFERROR(VLOOKUP(AV6,'사용자가 입력할 시트'!$AF$2:$AG$60,2,FALSE),AV6)</f>
        <v>체력</v>
      </c>
      <c r="AY6" s="72" t="str">
        <f t="array" ref="AY6">IFERROR(TRIM(_xlfn.REGEXEXTRACT(AW6,"(\d+[%]?$|[A-Z]+$)")),"")</f>
        <v>2396</v>
      </c>
      <c r="AZ6" s="67" t="s">
        <v>94</v>
      </c>
      <c r="BA6" s="70" t="str">
        <f t="shared" ref="BA6:BA69" si="17">IF(ISNUMBER(SEARCH("≪",AZ6)),AZ6,TRIM(SUBSTITUTE(AZ6,BB6,"",1)))</f>
        <v>HP</v>
      </c>
      <c r="BB6" s="70" t="str">
        <f t="array" ref="BB6">IFERROR(TRIM(_xlfn.REGEXEXTRACT(AZ6,"(\d.+[%]?$|[0-9]|[A-Z]+$)")),"")</f>
        <v>2396</v>
      </c>
      <c r="BC6" s="71" t="str">
        <f>IFERROR(VLOOKUP(BA6,'사용자가 입력할 시트'!$AF$2:$AG$60,2,FALSE),BA6)</f>
        <v>체력</v>
      </c>
      <c r="BD6" s="72" t="str">
        <f t="array" ref="BD6">IFERROR(TRIM(_xlfn.REGEXEXTRACT(BB6,"(\d+[%]?$|[A-Z]+$)")),"")</f>
        <v>2396</v>
      </c>
      <c r="BE6" s="67" t="s">
        <v>94</v>
      </c>
      <c r="BF6" s="70" t="str">
        <f t="shared" ref="BF6:BF69" si="18">IF(ISNUMBER(SEARCH("≪",BE6)),BE6,TRIM(SUBSTITUTE(BE6,BG6,"",1)))</f>
        <v>HP</v>
      </c>
      <c r="BG6" s="70" t="str">
        <f t="array" ref="BG6">IFERROR(TRIM(_xlfn.REGEXEXTRACT(BE6,"(\d.+[%]?$|[0-9]|[A-Z]+$)")),"")</f>
        <v>2396</v>
      </c>
      <c r="BH6" s="71" t="str">
        <f>IFERROR(VLOOKUP(BF6,'사용자가 입력할 시트'!$AF$2:$AG$60,2,FALSE),BF6)</f>
        <v>체력</v>
      </c>
      <c r="BI6" s="72" t="str">
        <f t="array" ref="BI6">IFERROR(TRIM(_xlfn.REGEXEXTRACT(BG6,"(\d+[%]?$|[A-Z]+$)")),"")</f>
        <v>2396</v>
      </c>
      <c r="BJ6" s="67" t="s">
        <v>94</v>
      </c>
      <c r="BK6" s="70" t="str">
        <f t="shared" ref="BK6:BK69" si="19">IF(ISNUMBER(SEARCH("≪",BJ6)),BJ6,TRIM(SUBSTITUTE(BJ6,BL6,"",1)))</f>
        <v>HP</v>
      </c>
      <c r="BL6" s="70" t="str">
        <f t="array" ref="BL6">IFERROR(TRIM(_xlfn.REGEXEXTRACT(BJ6,"(\d.+[%]?$|[0-9]|[A-Z]+$)")),"")</f>
        <v>2396</v>
      </c>
      <c r="BM6" s="71" t="str">
        <f>IFERROR(VLOOKUP(BK6,'사용자가 입력할 시트'!$AF$2:$AG$60,2,FALSE),BK6)</f>
        <v>체력</v>
      </c>
      <c r="BN6" s="72" t="str">
        <f t="array" ref="BN6">IFERROR(TRIM(_xlfn.REGEXEXTRACT(BL6,"(\d+[%]?$|[A-Z]+$)")),"")</f>
        <v>2396</v>
      </c>
      <c r="BO6" s="67" t="s">
        <v>94</v>
      </c>
      <c r="BP6" s="70" t="str">
        <f t="shared" ref="BP6:BP69" si="20">IF(ISNUMBER(SEARCH("≪",BO6)),BO6,TRIM(SUBSTITUTE(BO6,BQ6,"",1)))</f>
        <v>HP</v>
      </c>
      <c r="BQ6" s="70" t="str">
        <f t="array" ref="BQ6">IFERROR(TRIM(_xlfn.REGEXEXTRACT(BO6,"(\d.+[%]?$|[0-9]|[A-Z]+$)")),"")</f>
        <v>2396</v>
      </c>
      <c r="BR6" s="71" t="str">
        <f>IFERROR(VLOOKUP(BP6,'사용자가 입력할 시트'!$AF$2:$AG$60,2,FALSE),BP6)</f>
        <v>체력</v>
      </c>
      <c r="BS6" s="72" t="str">
        <f t="array" ref="BS6">IFERROR(TRIM(_xlfn.REGEXEXTRACT(BQ6,"(\d+[%]?$|[A-Z]+$)")),"")</f>
        <v>2396</v>
      </c>
      <c r="BT6" s="67" t="s">
        <v>94</v>
      </c>
      <c r="BU6" s="70" t="str">
        <f t="shared" ref="BU6:BU69" si="21">IF(ISNUMBER(SEARCH("≪",BT6)),BT6,TRIM(SUBSTITUTE(BT6,BV6,"",1)))</f>
        <v>HP</v>
      </c>
      <c r="BV6" s="70" t="str">
        <f t="array" ref="BV6">IFERROR(TRIM(_xlfn.REGEXEXTRACT(BT6,"(\d.+[%]?$|[0-9]|[A-Z]+$)")),"")</f>
        <v>2396</v>
      </c>
      <c r="BW6" s="71" t="str">
        <f>IFERROR(VLOOKUP(BU6,'사용자가 입력할 시트'!$AF$2:$AG$60,2,FALSE),BU6)</f>
        <v>체력</v>
      </c>
      <c r="BX6" s="72" t="str">
        <f t="array" ref="BX6">IFERROR(TRIM(_xlfn.REGEXEXTRACT(BV6,"(\d+[%]?$|[A-Z]+$)")),"")</f>
        <v>2396</v>
      </c>
      <c r="BY6" s="67" t="s">
        <v>94</v>
      </c>
      <c r="BZ6" s="70" t="str">
        <f t="shared" ref="BZ6:BZ69" si="22">IF(ISNUMBER(SEARCH("≪",BY6)),BY6,TRIM(SUBSTITUTE(BY6,CA6,"",1)))</f>
        <v>HP</v>
      </c>
      <c r="CA6" s="70" t="str">
        <f t="array" ref="CA6">IFERROR(TRIM(_xlfn.REGEXEXTRACT(BY6,"(\d.+[%]?$|[0-9]|[A-Z]+$)")),"")</f>
        <v>2396</v>
      </c>
      <c r="CB6" s="71" t="str">
        <f>IFERROR(VLOOKUP(BZ6,'사용자가 입력할 시트'!$AF$2:$AG$60,2,FALSE),BZ6)</f>
        <v>체력</v>
      </c>
      <c r="CC6" s="72" t="str">
        <f t="array" ref="CC6">IFERROR(TRIM(_xlfn.REGEXEXTRACT(CA6,"(\d+[%]?$|[A-Z]+$)")),"")</f>
        <v>2396</v>
      </c>
    </row>
    <row r="7" spans="2:81" ht="16.5" customHeight="1">
      <c r="B7" s="112"/>
      <c r="C7" s="117"/>
      <c r="D7" s="7"/>
      <c r="E7" s="21"/>
      <c r="F7" s="21"/>
      <c r="G7" s="8"/>
      <c r="H7" s="22"/>
      <c r="I7" s="23"/>
      <c r="J7" s="23"/>
      <c r="K7" s="23"/>
      <c r="L7" s="23"/>
      <c r="M7" s="23"/>
      <c r="N7" s="23"/>
      <c r="O7" s="23"/>
      <c r="P7" s="24"/>
      <c r="Q7" s="25"/>
      <c r="W7" s="2" t="str">
        <f t="shared" ca="1" si="10"/>
        <v/>
      </c>
      <c r="X7" s="2" t="str">
        <f t="shared" ca="1" si="11"/>
        <v/>
      </c>
      <c r="Y7" s="2" t="str">
        <f t="shared" ca="1" si="12"/>
        <v/>
      </c>
      <c r="Z7" s="42" t="str">
        <f ca="1">IF(Y5="","",$Y$4&amp;" :"&amp;Y5&amp;IF(Y5=Y6,"","("&amp;Y6&amp;")"))</f>
        <v>야외 :B</v>
      </c>
      <c r="AB7" s="74"/>
      <c r="AC7" s="42" t="s">
        <v>184</v>
      </c>
      <c r="AD7" s="4" t="str">
        <f>_xlfn.LET(_xlpm.titleCell, MATCH($AC$7, AI:AI, 0),_xlpm.nextTitleCell, IFERROR(_xlfn.AGGREGATE(15, 6, ROW($AI$2:$AI$100)/(LEFT($AI$2:$AI$100,1)="≪")/(ROW($AI$2:$AI$100)&gt;_xlpm.titleCell), 1), ROWS(AI:AI)+1),_xlpm.startRow, _xlpm.titleCell + 1,_xlpm.endRow, _xlpm.nextTitleCell - 1,_xlpm.colStart, COLUMN($AI$2),_xlpm.colEnd, _xlpm.colStart + 1,ADDRESS(_xlpm.startRow, _xlpm.colStart) &amp; ":" &amp; ADDRESS(_xlpm.endRow, _xlpm.colEnd))</f>
        <v>$AI$27:$AJ$46</v>
      </c>
      <c r="AF7" s="67" t="s">
        <v>33</v>
      </c>
      <c r="AG7" s="70" t="str">
        <f t="shared" si="13"/>
        <v>防御力</v>
      </c>
      <c r="AH7" s="70" t="str">
        <f t="array" ref="AH7">IFERROR(TRIM(_xlfn.REGEXEXTRACT(AF7,"(\d.+[%]?$|[0-9]|[A-Z]+$)")),"")</f>
        <v>19</v>
      </c>
      <c r="AI7" s="71" t="str">
        <f>IFERROR(VLOOKUP(AG7,'사용자가 입력할 시트'!$AF$2:$AG$60,2,FALSE),AG7)</f>
        <v>방어력</v>
      </c>
      <c r="AJ7" s="72" t="str">
        <f t="array" ref="AJ7">IFERROR(TRIM(_xlfn.REGEXEXTRACT(AH7,"(\d+[%]?$|[A-Z]+$)")),"")</f>
        <v>19</v>
      </c>
      <c r="AK7" s="67" t="s">
        <v>33</v>
      </c>
      <c r="AL7" s="70" t="str">
        <f t="shared" si="14"/>
        <v>防御力</v>
      </c>
      <c r="AM7" s="70" t="str">
        <f t="array" ref="AM7">IFERROR(TRIM(_xlfn.REGEXEXTRACT(AK7,"(\d.+[%]?$|[0-9]|[A-Z]+$)")),"")</f>
        <v>19</v>
      </c>
      <c r="AN7" s="71" t="str">
        <f>IFERROR(VLOOKUP(AL7,'사용자가 입력할 시트'!$AF$2:$AG$60,2,FALSE),AL7)</f>
        <v>방어력</v>
      </c>
      <c r="AO7" s="72" t="str">
        <f t="array" ref="AO7">IFERROR(TRIM(_xlfn.REGEXEXTRACT(AM7,"(\d+[%]?$|[A-Z]+$)")),"")</f>
        <v>19</v>
      </c>
      <c r="AP7" s="67" t="s">
        <v>33</v>
      </c>
      <c r="AQ7" s="70" t="str">
        <f t="shared" si="15"/>
        <v>防御力</v>
      </c>
      <c r="AR7" s="70" t="str">
        <f t="array" ref="AR7">IFERROR(TRIM(_xlfn.REGEXEXTRACT(AP7,"(\d.+[%]?$|[0-9]|[A-Z]+$)")),"")</f>
        <v>19</v>
      </c>
      <c r="AS7" s="71" t="str">
        <f>IFERROR(VLOOKUP(AQ7,'사용자가 입력할 시트'!$AF$2:$AG$60,2,FALSE),AQ7)</f>
        <v>방어력</v>
      </c>
      <c r="AT7" s="72" t="str">
        <f t="array" ref="AT7">IFERROR(TRIM(_xlfn.REGEXEXTRACT(AR7,"(\d+[%]?$|[A-Z]+$)")),"")</f>
        <v>19</v>
      </c>
      <c r="AU7" s="67" t="s">
        <v>33</v>
      </c>
      <c r="AV7" s="70" t="str">
        <f t="shared" si="16"/>
        <v>防御力</v>
      </c>
      <c r="AW7" s="70" t="str">
        <f t="array" ref="AW7">IFERROR(TRIM(_xlfn.REGEXEXTRACT(AU7,"(\d.+[%]?$|[0-9]|[A-Z]+$)")),"")</f>
        <v>19</v>
      </c>
      <c r="AX7" s="71" t="str">
        <f>IFERROR(VLOOKUP(AV7,'사용자가 입력할 시트'!$AF$2:$AG$60,2,FALSE),AV7)</f>
        <v>방어력</v>
      </c>
      <c r="AY7" s="72" t="str">
        <f t="array" ref="AY7">IFERROR(TRIM(_xlfn.REGEXEXTRACT(AW7,"(\d+[%]?$|[A-Z]+$)")),"")</f>
        <v>19</v>
      </c>
      <c r="AZ7" s="67" t="s">
        <v>33</v>
      </c>
      <c r="BA7" s="70" t="str">
        <f t="shared" si="17"/>
        <v>防御力</v>
      </c>
      <c r="BB7" s="70" t="str">
        <f t="array" ref="BB7">IFERROR(TRIM(_xlfn.REGEXEXTRACT(AZ7,"(\d.+[%]?$|[0-9]|[A-Z]+$)")),"")</f>
        <v>19</v>
      </c>
      <c r="BC7" s="71" t="str">
        <f>IFERROR(VLOOKUP(BA7,'사용자가 입력할 시트'!$AF$2:$AG$60,2,FALSE),BA7)</f>
        <v>방어력</v>
      </c>
      <c r="BD7" s="72" t="str">
        <f t="array" ref="BD7">IFERROR(TRIM(_xlfn.REGEXEXTRACT(BB7,"(\d+[%]?$|[A-Z]+$)")),"")</f>
        <v>19</v>
      </c>
      <c r="BE7" s="67" t="s">
        <v>33</v>
      </c>
      <c r="BF7" s="70" t="str">
        <f t="shared" si="18"/>
        <v>防御力</v>
      </c>
      <c r="BG7" s="70" t="str">
        <f t="array" ref="BG7">IFERROR(TRIM(_xlfn.REGEXEXTRACT(BE7,"(\d.+[%]?$|[0-9]|[A-Z]+$)")),"")</f>
        <v>19</v>
      </c>
      <c r="BH7" s="71" t="str">
        <f>IFERROR(VLOOKUP(BF7,'사용자가 입력할 시트'!$AF$2:$AG$60,2,FALSE),BF7)</f>
        <v>방어력</v>
      </c>
      <c r="BI7" s="72" t="str">
        <f t="array" ref="BI7">IFERROR(TRIM(_xlfn.REGEXEXTRACT(BG7,"(\d+[%]?$|[A-Z]+$)")),"")</f>
        <v>19</v>
      </c>
      <c r="BJ7" s="67" t="s">
        <v>33</v>
      </c>
      <c r="BK7" s="70" t="str">
        <f t="shared" si="19"/>
        <v>防御力</v>
      </c>
      <c r="BL7" s="70" t="str">
        <f t="array" ref="BL7">IFERROR(TRIM(_xlfn.REGEXEXTRACT(BJ7,"(\d.+[%]?$|[0-9]|[A-Z]+$)")),"")</f>
        <v>19</v>
      </c>
      <c r="BM7" s="71" t="str">
        <f>IFERROR(VLOOKUP(BK7,'사용자가 입력할 시트'!$AF$2:$AG$60,2,FALSE),BK7)</f>
        <v>방어력</v>
      </c>
      <c r="BN7" s="72" t="str">
        <f t="array" ref="BN7">IFERROR(TRIM(_xlfn.REGEXEXTRACT(BL7,"(\d+[%]?$|[A-Z]+$)")),"")</f>
        <v>19</v>
      </c>
      <c r="BO7" s="67" t="s">
        <v>33</v>
      </c>
      <c r="BP7" s="70" t="str">
        <f t="shared" si="20"/>
        <v>防御力</v>
      </c>
      <c r="BQ7" s="70" t="str">
        <f t="array" ref="BQ7">IFERROR(TRIM(_xlfn.REGEXEXTRACT(BO7,"(\d.+[%]?$|[0-9]|[A-Z]+$)")),"")</f>
        <v>19</v>
      </c>
      <c r="BR7" s="71" t="str">
        <f>IFERROR(VLOOKUP(BP7,'사용자가 입력할 시트'!$AF$2:$AG$60,2,FALSE),BP7)</f>
        <v>방어력</v>
      </c>
      <c r="BS7" s="72" t="str">
        <f t="array" ref="BS7">IFERROR(TRIM(_xlfn.REGEXEXTRACT(BQ7,"(\d+[%]?$|[A-Z]+$)")),"")</f>
        <v>19</v>
      </c>
      <c r="BT7" s="67" t="s">
        <v>33</v>
      </c>
      <c r="BU7" s="70" t="str">
        <f t="shared" si="21"/>
        <v>防御力</v>
      </c>
      <c r="BV7" s="70" t="str">
        <f t="array" ref="BV7">IFERROR(TRIM(_xlfn.REGEXEXTRACT(BT7,"(\d.+[%]?$|[0-9]|[A-Z]+$)")),"")</f>
        <v>19</v>
      </c>
      <c r="BW7" s="71" t="str">
        <f>IFERROR(VLOOKUP(BU7,'사용자가 입력할 시트'!$AF$2:$AG$60,2,FALSE),BU7)</f>
        <v>방어력</v>
      </c>
      <c r="BX7" s="72" t="str">
        <f t="array" ref="BX7">IFERROR(TRIM(_xlfn.REGEXEXTRACT(BV7,"(\d+[%]?$|[A-Z]+$)")),"")</f>
        <v>19</v>
      </c>
      <c r="BY7" s="67" t="s">
        <v>33</v>
      </c>
      <c r="BZ7" s="70" t="str">
        <f t="shared" si="22"/>
        <v>防御力</v>
      </c>
      <c r="CA7" s="70" t="str">
        <f t="array" ref="CA7">IFERROR(TRIM(_xlfn.REGEXEXTRACT(BY7,"(\d.+[%]?$|[0-9]|[A-Z]+$)")),"")</f>
        <v>19</v>
      </c>
      <c r="CB7" s="71" t="str">
        <f>IFERROR(VLOOKUP(BZ7,'사용자가 입력할 시트'!$AF$2:$AG$60,2,FALSE),BZ7)</f>
        <v>방어력</v>
      </c>
      <c r="CC7" s="72" t="str">
        <f t="array" ref="CC7">IFERROR(TRIM(_xlfn.REGEXEXTRACT(CA7,"(\d+[%]?$|[A-Z]+$)")),"")</f>
        <v>19</v>
      </c>
    </row>
    <row r="8" spans="2:81">
      <c r="B8" s="113"/>
      <c r="C8" s="101"/>
      <c r="D8" s="16"/>
      <c r="E8" s="26"/>
      <c r="F8" s="26"/>
      <c r="G8" s="17"/>
      <c r="H8" s="18"/>
      <c r="I8" s="18"/>
      <c r="J8" s="18"/>
      <c r="K8" s="18"/>
      <c r="L8" s="18"/>
      <c r="M8" s="18"/>
      <c r="N8" s="18"/>
      <c r="O8" s="18"/>
      <c r="P8" s="19"/>
      <c r="Q8" s="20"/>
      <c r="W8" s="2" t="str">
        <f t="shared" ca="1" si="10"/>
        <v/>
      </c>
      <c r="X8" s="2" t="str">
        <f t="shared" ca="1" si="11"/>
        <v/>
      </c>
      <c r="Y8" s="2" t="str">
        <f t="shared" ca="1" si="12"/>
        <v/>
      </c>
      <c r="Z8" s="42" t="str">
        <f t="shared" ref="Z8" ca="1" si="23">IF(W8="","",$W$4&amp;" :"&amp;W8&amp;IF(W8=W9,"","("&amp;W9&amp;")"))</f>
        <v/>
      </c>
      <c r="AB8" s="74"/>
      <c r="AC8" s="42" t="s">
        <v>185</v>
      </c>
      <c r="AD8" s="4" t="str">
        <f>_xlfn.LET(_xlpm.titleCell, MATCH($AC$8, AI:AI, 0),_xlpm.nextTitleCell, IFERROR(_xlfn.AGGREGATE(15, 6, ROW($AI$2:$AI$100)/(LEFT($AI$2:$AI$100,1)="≪")/(ROW($AI$2:$AI$100)&gt;_xlpm.titleCell), 1), ROWS(AI:AI)+1),_xlpm.startRow, _xlpm.titleCell + 1,_xlpm.endRow, _xlpm.nextTitleCell - 1,_xlpm.colStart, COLUMN($AI$2),_xlpm.colEnd, _xlpm.colStart + 1,ADDRESS(_xlpm.startRow, _xlpm.colStart) &amp; ":" &amp; ADDRESS(_xlpm.endRow, _xlpm.colEnd))</f>
        <v>$AI$48:$AJ$50</v>
      </c>
      <c r="AF8" s="67" t="s">
        <v>36</v>
      </c>
      <c r="AG8" s="70" t="str">
        <f t="shared" si="13"/>
        <v>命中値</v>
      </c>
      <c r="AH8" s="70" t="str">
        <f t="array" ref="AH8">IFERROR(TRIM(_xlfn.REGEXEXTRACT(AF8,"(\d.+[%]?$|[0-9]|[A-Z]+$)")),"")</f>
        <v>944</v>
      </c>
      <c r="AI8" s="71" t="str">
        <f>IFERROR(VLOOKUP(AG8,'사용자가 입력할 시트'!$AF$2:$AG$60,2,FALSE),AG8)</f>
        <v>명중 수치</v>
      </c>
      <c r="AJ8" s="72" t="str">
        <f t="array" ref="AJ8">IFERROR(TRIM(_xlfn.REGEXEXTRACT(AH8,"(\d+[%]?$|[A-Z]+$)")),"")</f>
        <v>944</v>
      </c>
      <c r="AK8" s="67" t="s">
        <v>36</v>
      </c>
      <c r="AL8" s="70" t="str">
        <f t="shared" si="14"/>
        <v>命中値</v>
      </c>
      <c r="AM8" s="70" t="str">
        <f t="array" ref="AM8">IFERROR(TRIM(_xlfn.REGEXEXTRACT(AK8,"(\d.+[%]?$|[0-9]|[A-Z]+$)")),"")</f>
        <v>944</v>
      </c>
      <c r="AN8" s="71" t="str">
        <f>IFERROR(VLOOKUP(AL8,'사용자가 입력할 시트'!$AF$2:$AG$60,2,FALSE),AL8)</f>
        <v>명중 수치</v>
      </c>
      <c r="AO8" s="72" t="str">
        <f t="array" ref="AO8">IFERROR(TRIM(_xlfn.REGEXEXTRACT(AM8,"(\d+[%]?$|[A-Z]+$)")),"")</f>
        <v>944</v>
      </c>
      <c r="AP8" s="67" t="s">
        <v>36</v>
      </c>
      <c r="AQ8" s="70" t="str">
        <f t="shared" si="15"/>
        <v>命中値</v>
      </c>
      <c r="AR8" s="70" t="str">
        <f t="array" ref="AR8">IFERROR(TRIM(_xlfn.REGEXEXTRACT(AP8,"(\d.+[%]?$|[0-9]|[A-Z]+$)")),"")</f>
        <v>944</v>
      </c>
      <c r="AS8" s="71" t="str">
        <f>IFERROR(VLOOKUP(AQ8,'사용자가 입력할 시트'!$AF$2:$AG$60,2,FALSE),AQ8)</f>
        <v>명중 수치</v>
      </c>
      <c r="AT8" s="72" t="str">
        <f t="array" ref="AT8">IFERROR(TRIM(_xlfn.REGEXEXTRACT(AR8,"(\d+[%]?$|[A-Z]+$)")),"")</f>
        <v>944</v>
      </c>
      <c r="AU8" s="67" t="s">
        <v>36</v>
      </c>
      <c r="AV8" s="70" t="str">
        <f t="shared" si="16"/>
        <v>命中値</v>
      </c>
      <c r="AW8" s="70" t="str">
        <f t="array" ref="AW8">IFERROR(TRIM(_xlfn.REGEXEXTRACT(AU8,"(\d.+[%]?$|[0-9]|[A-Z]+$)")),"")</f>
        <v>944</v>
      </c>
      <c r="AX8" s="71" t="str">
        <f>IFERROR(VLOOKUP(AV8,'사용자가 입력할 시트'!$AF$2:$AG$60,2,FALSE),AV8)</f>
        <v>명중 수치</v>
      </c>
      <c r="AY8" s="72" t="str">
        <f t="array" ref="AY8">IFERROR(TRIM(_xlfn.REGEXEXTRACT(AW8,"(\d+[%]?$|[A-Z]+$)")),"")</f>
        <v>944</v>
      </c>
      <c r="AZ8" s="67" t="s">
        <v>36</v>
      </c>
      <c r="BA8" s="70" t="str">
        <f t="shared" si="17"/>
        <v>命中値</v>
      </c>
      <c r="BB8" s="70" t="str">
        <f t="array" ref="BB8">IFERROR(TRIM(_xlfn.REGEXEXTRACT(AZ8,"(\d.+[%]?$|[0-9]|[A-Z]+$)")),"")</f>
        <v>944</v>
      </c>
      <c r="BC8" s="71" t="str">
        <f>IFERROR(VLOOKUP(BA8,'사용자가 입력할 시트'!$AF$2:$AG$60,2,FALSE),BA8)</f>
        <v>명중 수치</v>
      </c>
      <c r="BD8" s="72" t="str">
        <f t="array" ref="BD8">IFERROR(TRIM(_xlfn.REGEXEXTRACT(BB8,"(\d+[%]?$|[A-Z]+$)")),"")</f>
        <v>944</v>
      </c>
      <c r="BE8" s="67" t="s">
        <v>36</v>
      </c>
      <c r="BF8" s="70" t="str">
        <f t="shared" si="18"/>
        <v>命中値</v>
      </c>
      <c r="BG8" s="70" t="str">
        <f t="array" ref="BG8">IFERROR(TRIM(_xlfn.REGEXEXTRACT(BE8,"(\d.+[%]?$|[0-9]|[A-Z]+$)")),"")</f>
        <v>944</v>
      </c>
      <c r="BH8" s="71" t="str">
        <f>IFERROR(VLOOKUP(BF8,'사용자가 입력할 시트'!$AF$2:$AG$60,2,FALSE),BF8)</f>
        <v>명중 수치</v>
      </c>
      <c r="BI8" s="72" t="str">
        <f t="array" ref="BI8">IFERROR(TRIM(_xlfn.REGEXEXTRACT(BG8,"(\d+[%]?$|[A-Z]+$)")),"")</f>
        <v>944</v>
      </c>
      <c r="BJ8" s="67" t="s">
        <v>36</v>
      </c>
      <c r="BK8" s="70" t="str">
        <f t="shared" si="19"/>
        <v>命中値</v>
      </c>
      <c r="BL8" s="70" t="str">
        <f t="array" ref="BL8">IFERROR(TRIM(_xlfn.REGEXEXTRACT(BJ8,"(\d.+[%]?$|[0-9]|[A-Z]+$)")),"")</f>
        <v>944</v>
      </c>
      <c r="BM8" s="71" t="str">
        <f>IFERROR(VLOOKUP(BK8,'사용자가 입력할 시트'!$AF$2:$AG$60,2,FALSE),BK8)</f>
        <v>명중 수치</v>
      </c>
      <c r="BN8" s="72" t="str">
        <f t="array" ref="BN8">IFERROR(TRIM(_xlfn.REGEXEXTRACT(BL8,"(\d+[%]?$|[A-Z]+$)")),"")</f>
        <v>944</v>
      </c>
      <c r="BO8" s="67" t="s">
        <v>36</v>
      </c>
      <c r="BP8" s="70" t="str">
        <f t="shared" si="20"/>
        <v>命中値</v>
      </c>
      <c r="BQ8" s="70" t="str">
        <f t="array" ref="BQ8">IFERROR(TRIM(_xlfn.REGEXEXTRACT(BO8,"(\d.+[%]?$|[0-9]|[A-Z]+$)")),"")</f>
        <v>944</v>
      </c>
      <c r="BR8" s="71" t="str">
        <f>IFERROR(VLOOKUP(BP8,'사용자가 입력할 시트'!$AF$2:$AG$60,2,FALSE),BP8)</f>
        <v>명중 수치</v>
      </c>
      <c r="BS8" s="72" t="str">
        <f t="array" ref="BS8">IFERROR(TRIM(_xlfn.REGEXEXTRACT(BQ8,"(\d+[%]?$|[A-Z]+$)")),"")</f>
        <v>944</v>
      </c>
      <c r="BT8" s="67" t="s">
        <v>36</v>
      </c>
      <c r="BU8" s="70" t="str">
        <f t="shared" si="21"/>
        <v>命中値</v>
      </c>
      <c r="BV8" s="70" t="str">
        <f t="array" ref="BV8">IFERROR(TRIM(_xlfn.REGEXEXTRACT(BT8,"(\d.+[%]?$|[0-9]|[A-Z]+$)")),"")</f>
        <v>944</v>
      </c>
      <c r="BW8" s="71" t="str">
        <f>IFERROR(VLOOKUP(BU8,'사용자가 입력할 시트'!$AF$2:$AG$60,2,FALSE),BU8)</f>
        <v>명중 수치</v>
      </c>
      <c r="BX8" s="72" t="str">
        <f t="array" ref="BX8">IFERROR(TRIM(_xlfn.REGEXEXTRACT(BV8,"(\d+[%]?$|[A-Z]+$)")),"")</f>
        <v>944</v>
      </c>
      <c r="BY8" s="67" t="s">
        <v>36</v>
      </c>
      <c r="BZ8" s="70" t="str">
        <f t="shared" si="22"/>
        <v>命中値</v>
      </c>
      <c r="CA8" s="70" t="str">
        <f t="array" ref="CA8">IFERROR(TRIM(_xlfn.REGEXEXTRACT(BY8,"(\d.+[%]?$|[0-9]|[A-Z]+$)")),"")</f>
        <v>944</v>
      </c>
      <c r="CB8" s="71" t="str">
        <f>IFERROR(VLOOKUP(BZ8,'사용자가 입력할 시트'!$AF$2:$AG$60,2,FALSE),BZ8)</f>
        <v>명중 수치</v>
      </c>
      <c r="CC8" s="72" t="str">
        <f t="array" ref="CC8">IFERROR(TRIM(_xlfn.REGEXEXTRACT(CA8,"(\d+[%]?$|[A-Z]+$)")),"")</f>
        <v>944</v>
      </c>
    </row>
    <row r="9" spans="2:81">
      <c r="B9" s="9"/>
      <c r="C9" s="118"/>
      <c r="D9" s="7"/>
      <c r="E9" s="8"/>
      <c r="F9" s="8"/>
      <c r="G9" s="23"/>
      <c r="H9" s="23"/>
      <c r="I9" s="22"/>
      <c r="J9" s="22"/>
      <c r="K9" s="22"/>
      <c r="L9" s="22"/>
      <c r="M9" s="23"/>
      <c r="N9" s="23"/>
      <c r="O9" s="22"/>
      <c r="P9" s="27"/>
      <c r="Q9" s="28"/>
      <c r="W9" s="2" t="str">
        <f t="shared" ca="1" si="10"/>
        <v/>
      </c>
      <c r="X9" s="2" t="str">
        <f t="shared" ca="1" si="11"/>
        <v/>
      </c>
      <c r="Y9" s="2" t="str">
        <f t="shared" ca="1" si="12"/>
        <v/>
      </c>
      <c r="Z9" s="42" t="str">
        <f t="shared" ref="Z9" ca="1" si="24">IF(X8="","",$X$4&amp;" :"&amp;X8&amp;IF(X8=X9,"","("&amp;X9&amp;")"))</f>
        <v/>
      </c>
      <c r="AB9" s="74"/>
      <c r="AC9" s="42" t="s">
        <v>186</v>
      </c>
      <c r="AD9" s="4" t="str">
        <f>_xlfn.LET(_xlpm.titleCell, MATCH($AC$9, AI:AI, 0),_xlpm.nextTitleCell, IFERROR(_xlfn.AGGREGATE(15, 6, ROW($AI$2:$AI$100)/(LEFT($AI$2:$AI$100,1)="≪")/(ROW($AI$2:$AI$100)&gt;_xlpm.titleCell), 1), ROWS(AI:AI)+1),_xlpm.startRow, _xlpm.titleCell + 1,_xlpm.endRow, _xlpm.nextTitleCell - 1,_xlpm.colStart, COLUMN($AI$2),_xlpm.colEnd, _xlpm.colStart + 1,ADDRESS(_xlpm.startRow, _xlpm.colStart) &amp; ":" &amp; ADDRESS(_xlpm.endRow, _xlpm.colEnd))</f>
        <v>$AI$52:$AJ$55</v>
      </c>
      <c r="AF9" s="68" t="s">
        <v>40</v>
      </c>
      <c r="AG9" s="70" t="str">
        <f t="shared" si="13"/>
        <v>会心値</v>
      </c>
      <c r="AH9" s="70" t="str">
        <f t="array" ref="AH9">IFERROR(TRIM(_xlfn.REGEXEXTRACT(AF9,"(\d.+[%]?$|[0-9]|[A-Z]+$)")),"")</f>
        <v>209</v>
      </c>
      <c r="AI9" s="71" t="str">
        <f>IFERROR(VLOOKUP(AG9,'사용자가 입력할 시트'!$AF$2:$AG$60,2,FALSE),AG9)</f>
        <v>치명 수치</v>
      </c>
      <c r="AJ9" s="72" t="str">
        <f t="array" ref="AJ9">IFERROR(TRIM(_xlfn.REGEXEXTRACT(AH9,"(\d+[%]?$|[A-Z]+$)")),"")</f>
        <v>209</v>
      </c>
      <c r="AK9" s="68" t="s">
        <v>40</v>
      </c>
      <c r="AL9" s="70" t="str">
        <f t="shared" si="14"/>
        <v>会心値</v>
      </c>
      <c r="AM9" s="70" t="str">
        <f t="array" ref="AM9">IFERROR(TRIM(_xlfn.REGEXEXTRACT(AK9,"(\d.+[%]?$|[0-9]|[A-Z]+$)")),"")</f>
        <v>209</v>
      </c>
      <c r="AN9" s="71" t="str">
        <f>IFERROR(VLOOKUP(AL9,'사용자가 입력할 시트'!$AF$2:$AG$60,2,FALSE),AL9)</f>
        <v>치명 수치</v>
      </c>
      <c r="AO9" s="72" t="str">
        <f t="array" ref="AO9">IFERROR(TRIM(_xlfn.REGEXEXTRACT(AM9,"(\d+[%]?$|[A-Z]+$)")),"")</f>
        <v>209</v>
      </c>
      <c r="AP9" s="68" t="s">
        <v>40</v>
      </c>
      <c r="AQ9" s="70" t="str">
        <f t="shared" si="15"/>
        <v>会心値</v>
      </c>
      <c r="AR9" s="70" t="str">
        <f t="array" ref="AR9">IFERROR(TRIM(_xlfn.REGEXEXTRACT(AP9,"(\d.+[%]?$|[0-9]|[A-Z]+$)")),"")</f>
        <v>209</v>
      </c>
      <c r="AS9" s="71" t="str">
        <f>IFERROR(VLOOKUP(AQ9,'사용자가 입력할 시트'!$AF$2:$AG$60,2,FALSE),AQ9)</f>
        <v>치명 수치</v>
      </c>
      <c r="AT9" s="72" t="str">
        <f t="array" ref="AT9">IFERROR(TRIM(_xlfn.REGEXEXTRACT(AR9,"(\d+[%]?$|[A-Z]+$)")),"")</f>
        <v>209</v>
      </c>
      <c r="AU9" s="68" t="s">
        <v>40</v>
      </c>
      <c r="AV9" s="70" t="str">
        <f t="shared" si="16"/>
        <v>会心値</v>
      </c>
      <c r="AW9" s="70" t="str">
        <f t="array" ref="AW9">IFERROR(TRIM(_xlfn.REGEXEXTRACT(AU9,"(\d.+[%]?$|[0-9]|[A-Z]+$)")),"")</f>
        <v>209</v>
      </c>
      <c r="AX9" s="71" t="str">
        <f>IFERROR(VLOOKUP(AV9,'사용자가 입력할 시트'!$AF$2:$AG$60,2,FALSE),AV9)</f>
        <v>치명 수치</v>
      </c>
      <c r="AY9" s="72" t="str">
        <f t="array" ref="AY9">IFERROR(TRIM(_xlfn.REGEXEXTRACT(AW9,"(\d+[%]?$|[A-Z]+$)")),"")</f>
        <v>209</v>
      </c>
      <c r="AZ9" s="68" t="s">
        <v>40</v>
      </c>
      <c r="BA9" s="70" t="str">
        <f t="shared" si="17"/>
        <v>会心値</v>
      </c>
      <c r="BB9" s="70" t="str">
        <f t="array" ref="BB9">IFERROR(TRIM(_xlfn.REGEXEXTRACT(AZ9,"(\d.+[%]?$|[0-9]|[A-Z]+$)")),"")</f>
        <v>209</v>
      </c>
      <c r="BC9" s="71" t="str">
        <f>IFERROR(VLOOKUP(BA9,'사용자가 입력할 시트'!$AF$2:$AG$60,2,FALSE),BA9)</f>
        <v>치명 수치</v>
      </c>
      <c r="BD9" s="72" t="str">
        <f t="array" ref="BD9">IFERROR(TRIM(_xlfn.REGEXEXTRACT(BB9,"(\d+[%]?$|[A-Z]+$)")),"")</f>
        <v>209</v>
      </c>
      <c r="BE9" s="68" t="s">
        <v>40</v>
      </c>
      <c r="BF9" s="70" t="str">
        <f t="shared" si="18"/>
        <v>会心値</v>
      </c>
      <c r="BG9" s="70" t="str">
        <f t="array" ref="BG9">IFERROR(TRIM(_xlfn.REGEXEXTRACT(BE9,"(\d.+[%]?$|[0-9]|[A-Z]+$)")),"")</f>
        <v>209</v>
      </c>
      <c r="BH9" s="71" t="str">
        <f>IFERROR(VLOOKUP(BF9,'사용자가 입력할 시트'!$AF$2:$AG$60,2,FALSE),BF9)</f>
        <v>치명 수치</v>
      </c>
      <c r="BI9" s="72" t="str">
        <f t="array" ref="BI9">IFERROR(TRIM(_xlfn.REGEXEXTRACT(BG9,"(\d+[%]?$|[A-Z]+$)")),"")</f>
        <v>209</v>
      </c>
      <c r="BJ9" s="68" t="s">
        <v>40</v>
      </c>
      <c r="BK9" s="70" t="str">
        <f t="shared" si="19"/>
        <v>会心値</v>
      </c>
      <c r="BL9" s="70" t="str">
        <f t="array" ref="BL9">IFERROR(TRIM(_xlfn.REGEXEXTRACT(BJ9,"(\d.+[%]?$|[0-9]|[A-Z]+$)")),"")</f>
        <v>209</v>
      </c>
      <c r="BM9" s="71" t="str">
        <f>IFERROR(VLOOKUP(BK9,'사용자가 입력할 시트'!$AF$2:$AG$60,2,FALSE),BK9)</f>
        <v>치명 수치</v>
      </c>
      <c r="BN9" s="72" t="str">
        <f t="array" ref="BN9">IFERROR(TRIM(_xlfn.REGEXEXTRACT(BL9,"(\d+[%]?$|[A-Z]+$)")),"")</f>
        <v>209</v>
      </c>
      <c r="BO9" s="68" t="s">
        <v>40</v>
      </c>
      <c r="BP9" s="70" t="str">
        <f t="shared" si="20"/>
        <v>会心値</v>
      </c>
      <c r="BQ9" s="70" t="str">
        <f t="array" ref="BQ9">IFERROR(TRIM(_xlfn.REGEXEXTRACT(BO9,"(\d.+[%]?$|[0-9]|[A-Z]+$)")),"")</f>
        <v>209</v>
      </c>
      <c r="BR9" s="71" t="str">
        <f>IFERROR(VLOOKUP(BP9,'사용자가 입력할 시트'!$AF$2:$AG$60,2,FALSE),BP9)</f>
        <v>치명 수치</v>
      </c>
      <c r="BS9" s="72" t="str">
        <f t="array" ref="BS9">IFERROR(TRIM(_xlfn.REGEXEXTRACT(BQ9,"(\d+[%]?$|[A-Z]+$)")),"")</f>
        <v>209</v>
      </c>
      <c r="BT9" s="68" t="s">
        <v>40</v>
      </c>
      <c r="BU9" s="70" t="str">
        <f t="shared" si="21"/>
        <v>会心値</v>
      </c>
      <c r="BV9" s="70" t="str">
        <f t="array" ref="BV9">IFERROR(TRIM(_xlfn.REGEXEXTRACT(BT9,"(\d.+[%]?$|[0-9]|[A-Z]+$)")),"")</f>
        <v>209</v>
      </c>
      <c r="BW9" s="71" t="str">
        <f>IFERROR(VLOOKUP(BU9,'사용자가 입력할 시트'!$AF$2:$AG$60,2,FALSE),BU9)</f>
        <v>치명 수치</v>
      </c>
      <c r="BX9" s="72" t="str">
        <f t="array" ref="BX9">IFERROR(TRIM(_xlfn.REGEXEXTRACT(BV9,"(\d+[%]?$|[A-Z]+$)")),"")</f>
        <v>209</v>
      </c>
      <c r="BY9" s="68" t="s">
        <v>40</v>
      </c>
      <c r="BZ9" s="70" t="str">
        <f t="shared" si="22"/>
        <v>会心値</v>
      </c>
      <c r="CA9" s="70" t="str">
        <f t="array" ref="CA9">IFERROR(TRIM(_xlfn.REGEXEXTRACT(BY9,"(\d.+[%]?$|[0-9]|[A-Z]+$)")),"")</f>
        <v>209</v>
      </c>
      <c r="CB9" s="71" t="str">
        <f>IFERROR(VLOOKUP(BZ9,'사용자가 입력할 시트'!$AF$2:$AG$60,2,FALSE),BZ9)</f>
        <v>치명 수치</v>
      </c>
      <c r="CC9" s="72" t="str">
        <f t="array" ref="CC9">IFERROR(TRIM(_xlfn.REGEXEXTRACT(CA9,"(\d+[%]?$|[A-Z]+$)")),"")</f>
        <v>209</v>
      </c>
    </row>
    <row r="10" spans="2:81">
      <c r="B10" s="9"/>
      <c r="C10" s="104"/>
      <c r="D10" s="16"/>
      <c r="E10" s="17"/>
      <c r="F10" s="18"/>
      <c r="G10" s="17"/>
      <c r="H10" s="18"/>
      <c r="I10" s="29"/>
      <c r="J10" s="29"/>
      <c r="K10" s="29"/>
      <c r="L10" s="29"/>
      <c r="M10" s="18"/>
      <c r="N10" s="18"/>
      <c r="O10" s="29"/>
      <c r="P10" s="30"/>
      <c r="Q10" s="31"/>
      <c r="W10" s="2" t="str">
        <f t="shared" ca="1" si="10"/>
        <v/>
      </c>
      <c r="X10" s="2" t="str">
        <f t="shared" ca="1" si="11"/>
        <v/>
      </c>
      <c r="Y10" s="2" t="str">
        <f t="shared" ca="1" si="12"/>
        <v/>
      </c>
      <c r="Z10" s="42" t="str">
        <f t="shared" ref="Z10" ca="1" si="25">IF(Y8="","",$Y$4&amp;" :"&amp;Y8&amp;IF(Y8=Y9,"","("&amp;Y9&amp;")"))</f>
        <v/>
      </c>
      <c r="AB10" s="74"/>
      <c r="AC10" s="42" t="s">
        <v>187</v>
      </c>
      <c r="AD10" s="4" t="str">
        <f>_xlfn.LET(_xlpm.titleCell, MATCH($AC$10, AI:AI, 0),_xlpm.nextTitleCell, IFERROR(_xlfn.AGGREGATE(15, 6, ROW($AI$2:$AI$100)/(LEFT($AI$2:$AI$100,1)="≪")/(ROW($AI$2:$AI$100)&gt;_xlpm.titleCell), 1), ROWS(AI:AI)+1),_xlpm.startRow, _xlpm.titleCell + 1,_xlpm.endRow, _xlpm.nextTitleCell - 1,_xlpm.colStart, COLUMN($AI$2),_xlpm.colEnd, _xlpm.colStart + 1,ADDRESS(_xlpm.startRow, _xlpm.colStart) &amp; ":" &amp; ADDRESS(_xlpm.endRow, _xlpm.colEnd))</f>
        <v>$AI$57:$AJ$59</v>
      </c>
      <c r="AF10" s="68" t="s">
        <v>43</v>
      </c>
      <c r="AG10" s="70" t="str">
        <f t="shared" si="13"/>
        <v>防御貫通値</v>
      </c>
      <c r="AH10" s="70" t="str">
        <f t="array" ref="AH10">IFERROR(TRIM(_xlfn.REGEXEXTRACT(AF10,"(\d.+[%]?$|[0-9]|[A-Z]+$)")),"")</f>
        <v>0</v>
      </c>
      <c r="AI10" s="71" t="str">
        <f>IFERROR(VLOOKUP(AG10,'사용자가 입력할 시트'!$AF$2:$AG$60,2,FALSE),AG10)</f>
        <v>방어관통</v>
      </c>
      <c r="AJ10" s="72" t="str">
        <f t="array" ref="AJ10">IFERROR(TRIM(_xlfn.REGEXEXTRACT(AH10,"(\d+[%]?$|[A-Z]+$)")),"")</f>
        <v>0</v>
      </c>
      <c r="AK10" s="68" t="s">
        <v>43</v>
      </c>
      <c r="AL10" s="70" t="str">
        <f t="shared" si="14"/>
        <v>防御貫通値</v>
      </c>
      <c r="AM10" s="70" t="str">
        <f t="array" ref="AM10">IFERROR(TRIM(_xlfn.REGEXEXTRACT(AK10,"(\d.+[%]?$|[0-9]|[A-Z]+$)")),"")</f>
        <v>0</v>
      </c>
      <c r="AN10" s="71" t="str">
        <f>IFERROR(VLOOKUP(AL10,'사용자가 입력할 시트'!$AF$2:$AG$60,2,FALSE),AL10)</f>
        <v>방어관통</v>
      </c>
      <c r="AO10" s="72" t="str">
        <f t="array" ref="AO10">IFERROR(TRIM(_xlfn.REGEXEXTRACT(AM10,"(\d+[%]?$|[A-Z]+$)")),"")</f>
        <v>0</v>
      </c>
      <c r="AP10" s="68" t="s">
        <v>43</v>
      </c>
      <c r="AQ10" s="70" t="str">
        <f t="shared" si="15"/>
        <v>防御貫通値</v>
      </c>
      <c r="AR10" s="70" t="str">
        <f t="array" ref="AR10">IFERROR(TRIM(_xlfn.REGEXEXTRACT(AP10,"(\d.+[%]?$|[0-9]|[A-Z]+$)")),"")</f>
        <v>0</v>
      </c>
      <c r="AS10" s="71" t="str">
        <f>IFERROR(VLOOKUP(AQ10,'사용자가 입력할 시트'!$AF$2:$AG$60,2,FALSE),AQ10)</f>
        <v>방어관통</v>
      </c>
      <c r="AT10" s="72" t="str">
        <f t="array" ref="AT10">IFERROR(TRIM(_xlfn.REGEXEXTRACT(AR10,"(\d+[%]?$|[A-Z]+$)")),"")</f>
        <v>0</v>
      </c>
      <c r="AU10" s="68" t="s">
        <v>43</v>
      </c>
      <c r="AV10" s="70" t="str">
        <f t="shared" si="16"/>
        <v>防御貫通値</v>
      </c>
      <c r="AW10" s="70" t="str">
        <f t="array" ref="AW10">IFERROR(TRIM(_xlfn.REGEXEXTRACT(AU10,"(\d.+[%]?$|[0-9]|[A-Z]+$)")),"")</f>
        <v>0</v>
      </c>
      <c r="AX10" s="71" t="str">
        <f>IFERROR(VLOOKUP(AV10,'사용자가 입력할 시트'!$AF$2:$AG$60,2,FALSE),AV10)</f>
        <v>방어관통</v>
      </c>
      <c r="AY10" s="72" t="str">
        <f t="array" ref="AY10">IFERROR(TRIM(_xlfn.REGEXEXTRACT(AW10,"(\d+[%]?$|[A-Z]+$)")),"")</f>
        <v>0</v>
      </c>
      <c r="AZ10" s="68" t="s">
        <v>43</v>
      </c>
      <c r="BA10" s="70" t="str">
        <f t="shared" si="17"/>
        <v>防御貫通値</v>
      </c>
      <c r="BB10" s="70" t="str">
        <f t="array" ref="BB10">IFERROR(TRIM(_xlfn.REGEXEXTRACT(AZ10,"(\d.+[%]?$|[0-9]|[A-Z]+$)")),"")</f>
        <v>0</v>
      </c>
      <c r="BC10" s="71" t="str">
        <f>IFERROR(VLOOKUP(BA10,'사용자가 입력할 시트'!$AF$2:$AG$60,2,FALSE),BA10)</f>
        <v>방어관통</v>
      </c>
      <c r="BD10" s="72" t="str">
        <f t="array" ref="BD10">IFERROR(TRIM(_xlfn.REGEXEXTRACT(BB10,"(\d+[%]?$|[A-Z]+$)")),"")</f>
        <v>0</v>
      </c>
      <c r="BE10" s="68" t="s">
        <v>43</v>
      </c>
      <c r="BF10" s="70" t="str">
        <f t="shared" si="18"/>
        <v>防御貫通値</v>
      </c>
      <c r="BG10" s="70" t="str">
        <f t="array" ref="BG10">IFERROR(TRIM(_xlfn.REGEXEXTRACT(BE10,"(\d.+[%]?$|[0-9]|[A-Z]+$)")),"")</f>
        <v>0</v>
      </c>
      <c r="BH10" s="71" t="str">
        <f>IFERROR(VLOOKUP(BF10,'사용자가 입력할 시트'!$AF$2:$AG$60,2,FALSE),BF10)</f>
        <v>방어관통</v>
      </c>
      <c r="BI10" s="72" t="str">
        <f t="array" ref="BI10">IFERROR(TRIM(_xlfn.REGEXEXTRACT(BG10,"(\d+[%]?$|[A-Z]+$)")),"")</f>
        <v>0</v>
      </c>
      <c r="BJ10" s="68" t="s">
        <v>43</v>
      </c>
      <c r="BK10" s="70" t="str">
        <f t="shared" si="19"/>
        <v>防御貫通値</v>
      </c>
      <c r="BL10" s="70" t="str">
        <f t="array" ref="BL10">IFERROR(TRIM(_xlfn.REGEXEXTRACT(BJ10,"(\d.+[%]?$|[0-9]|[A-Z]+$)")),"")</f>
        <v>0</v>
      </c>
      <c r="BM10" s="71" t="str">
        <f>IFERROR(VLOOKUP(BK10,'사용자가 입력할 시트'!$AF$2:$AG$60,2,FALSE),BK10)</f>
        <v>방어관통</v>
      </c>
      <c r="BN10" s="72" t="str">
        <f t="array" ref="BN10">IFERROR(TRIM(_xlfn.REGEXEXTRACT(BL10,"(\d+[%]?$|[A-Z]+$)")),"")</f>
        <v>0</v>
      </c>
      <c r="BO10" s="68" t="s">
        <v>43</v>
      </c>
      <c r="BP10" s="70" t="str">
        <f t="shared" si="20"/>
        <v>防御貫通値</v>
      </c>
      <c r="BQ10" s="70" t="str">
        <f t="array" ref="BQ10">IFERROR(TRIM(_xlfn.REGEXEXTRACT(BO10,"(\d.+[%]?$|[0-9]|[A-Z]+$)")),"")</f>
        <v>0</v>
      </c>
      <c r="BR10" s="71" t="str">
        <f>IFERROR(VLOOKUP(BP10,'사용자가 입력할 시트'!$AF$2:$AG$60,2,FALSE),BP10)</f>
        <v>방어관통</v>
      </c>
      <c r="BS10" s="72" t="str">
        <f t="array" ref="BS10">IFERROR(TRIM(_xlfn.REGEXEXTRACT(BQ10,"(\d+[%]?$|[A-Z]+$)")),"")</f>
        <v>0</v>
      </c>
      <c r="BT10" s="68" t="s">
        <v>43</v>
      </c>
      <c r="BU10" s="70" t="str">
        <f t="shared" si="21"/>
        <v>防御貫通値</v>
      </c>
      <c r="BV10" s="70" t="str">
        <f t="array" ref="BV10">IFERROR(TRIM(_xlfn.REGEXEXTRACT(BT10,"(\d.+[%]?$|[0-9]|[A-Z]+$)")),"")</f>
        <v>0</v>
      </c>
      <c r="BW10" s="71" t="str">
        <f>IFERROR(VLOOKUP(BU10,'사용자가 입력할 시트'!$AF$2:$AG$60,2,FALSE),BU10)</f>
        <v>방어관통</v>
      </c>
      <c r="BX10" s="72" t="str">
        <f t="array" ref="BX10">IFERROR(TRIM(_xlfn.REGEXEXTRACT(BV10,"(\d+[%]?$|[A-Z]+$)")),"")</f>
        <v>0</v>
      </c>
      <c r="BY10" s="68" t="s">
        <v>43</v>
      </c>
      <c r="BZ10" s="70" t="str">
        <f t="shared" si="22"/>
        <v>防御貫通値</v>
      </c>
      <c r="CA10" s="70" t="str">
        <f t="array" ref="CA10">IFERROR(TRIM(_xlfn.REGEXEXTRACT(BY10,"(\d.+[%]?$|[0-9]|[A-Z]+$)")),"")</f>
        <v>0</v>
      </c>
      <c r="CB10" s="71" t="str">
        <f>IFERROR(VLOOKUP(BZ10,'사용자가 입력할 시트'!$AF$2:$AG$60,2,FALSE),BZ10)</f>
        <v>방어관통</v>
      </c>
      <c r="CC10" s="72" t="str">
        <f t="array" ref="CC10">IFERROR(TRIM(_xlfn.REGEXEXTRACT(CA10,"(\d+[%]?$|[A-Z]+$)")),"")</f>
        <v>0</v>
      </c>
    </row>
    <row r="11" spans="2:81">
      <c r="B11" s="32"/>
      <c r="C11" s="105"/>
      <c r="D11" s="33"/>
      <c r="E11" s="34"/>
      <c r="F11" s="34"/>
      <c r="G11" s="34"/>
      <c r="H11" s="35"/>
      <c r="I11" s="34"/>
      <c r="J11" s="34"/>
      <c r="K11" s="34"/>
      <c r="L11" s="34"/>
      <c r="M11" s="34"/>
      <c r="N11" s="34"/>
      <c r="O11" s="36"/>
      <c r="P11" s="37"/>
      <c r="Q11" s="38"/>
      <c r="W11" s="2" t="str">
        <f t="shared" ca="1" si="10"/>
        <v>S</v>
      </c>
      <c r="X11" s="2" t="str">
        <f t="shared" ca="1" si="11"/>
        <v>D</v>
      </c>
      <c r="Y11" s="2" t="str">
        <f t="shared" ca="1" si="12"/>
        <v>B</v>
      </c>
      <c r="Z11" s="42" t="str">
        <f ca="1">IF(W11="","",$W$4&amp;" :"&amp;W11&amp;IF(W11=W12,"","("&amp;W12&amp;")"))</f>
        <v>시가 :S(a)</v>
      </c>
      <c r="AC11" s="42" t="s">
        <v>188</v>
      </c>
      <c r="AD11" s="4" t="str">
        <f>_xlfn.LET(_xlpm.titleCell, MATCH($AC$11, AI:AI, 0),_xlpm.nextTitleCell, IFERROR(_xlfn.AGGREGATE(15, 6, ROW($AI$2:$AI$100)/(LEFT($AI$2:$AI$100,1)="≪")/(ROW($AI$2:$AI$100)&gt;_xlpm.titleCell), 1), ROWS(AI:AI)+1),_xlpm.startRow, _xlpm.titleCell + 1,_xlpm.endRow, _xlpm.nextTitleCell - 1,_xlpm.colStart, COLUMN($AI$2),_xlpm.colEnd, _xlpm.colStart + 1,ADDRESS(_xlpm.startRow, _xlpm.colStart) &amp; ":" &amp; ADDRESS(_xlpm.endRow, _xlpm.colEnd))</f>
        <v>$AI$61:$AJ$63</v>
      </c>
      <c r="AF11" s="67" t="s">
        <v>118</v>
      </c>
      <c r="AG11" s="70" t="str">
        <f t="shared" si="13"/>
        <v>攻撃力</v>
      </c>
      <c r="AH11" s="70" t="str">
        <f t="array" ref="AH11">IFERROR(TRIM(_xlfn.REGEXEXTRACT(AF11,"(\d.+[%]?$|[0-9]|[A-Z]+$)")),"")</f>
        <v>373</v>
      </c>
      <c r="AI11" s="71" t="str">
        <f>IFERROR(VLOOKUP(AG11,'사용자가 입력할 시트'!$AF$2:$AG$60,2,FALSE),AG11)</f>
        <v>공격력</v>
      </c>
      <c r="AJ11" s="72" t="str">
        <f t="array" ref="AJ11">IFERROR(TRIM(_xlfn.REGEXEXTRACT(AH11,"(\d+[%]?$|[A-Z]+$)")),"")</f>
        <v>373</v>
      </c>
      <c r="AK11" s="67" t="s">
        <v>118</v>
      </c>
      <c r="AL11" s="70" t="str">
        <f t="shared" si="14"/>
        <v>攻撃力</v>
      </c>
      <c r="AM11" s="70" t="str">
        <f t="array" ref="AM11">IFERROR(TRIM(_xlfn.REGEXEXTRACT(AK11,"(\d.+[%]?$|[0-9]|[A-Z]+$)")),"")</f>
        <v>373</v>
      </c>
      <c r="AN11" s="71" t="str">
        <f>IFERROR(VLOOKUP(AL11,'사용자가 입력할 시트'!$AF$2:$AG$60,2,FALSE),AL11)</f>
        <v>공격력</v>
      </c>
      <c r="AO11" s="72" t="str">
        <f t="array" ref="AO11">IFERROR(TRIM(_xlfn.REGEXEXTRACT(AM11,"(\d+[%]?$|[A-Z]+$)")),"")</f>
        <v>373</v>
      </c>
      <c r="AP11" s="67" t="s">
        <v>118</v>
      </c>
      <c r="AQ11" s="70" t="str">
        <f t="shared" si="15"/>
        <v>攻撃力</v>
      </c>
      <c r="AR11" s="70" t="str">
        <f t="array" ref="AR11">IFERROR(TRIM(_xlfn.REGEXEXTRACT(AP11,"(\d.+[%]?$|[0-9]|[A-Z]+$)")),"")</f>
        <v>373</v>
      </c>
      <c r="AS11" s="71" t="str">
        <f>IFERROR(VLOOKUP(AQ11,'사용자가 입력할 시트'!$AF$2:$AG$60,2,FALSE),AQ11)</f>
        <v>공격력</v>
      </c>
      <c r="AT11" s="72" t="str">
        <f t="array" ref="AT11">IFERROR(TRIM(_xlfn.REGEXEXTRACT(AR11,"(\d+[%]?$|[A-Z]+$)")),"")</f>
        <v>373</v>
      </c>
      <c r="AU11" s="67" t="s">
        <v>118</v>
      </c>
      <c r="AV11" s="70" t="str">
        <f t="shared" si="16"/>
        <v>攻撃力</v>
      </c>
      <c r="AW11" s="70" t="str">
        <f t="array" ref="AW11">IFERROR(TRIM(_xlfn.REGEXEXTRACT(AU11,"(\d.+[%]?$|[0-9]|[A-Z]+$)")),"")</f>
        <v>373</v>
      </c>
      <c r="AX11" s="71" t="str">
        <f>IFERROR(VLOOKUP(AV11,'사용자가 입력할 시트'!$AF$2:$AG$60,2,FALSE),AV11)</f>
        <v>공격력</v>
      </c>
      <c r="AY11" s="72" t="str">
        <f t="array" ref="AY11">IFERROR(TRIM(_xlfn.REGEXEXTRACT(AW11,"(\d+[%]?$|[A-Z]+$)")),"")</f>
        <v>373</v>
      </c>
      <c r="AZ11" s="67" t="s">
        <v>118</v>
      </c>
      <c r="BA11" s="70" t="str">
        <f t="shared" si="17"/>
        <v>攻撃力</v>
      </c>
      <c r="BB11" s="70" t="str">
        <f t="array" ref="BB11">IFERROR(TRIM(_xlfn.REGEXEXTRACT(AZ11,"(\d.+[%]?$|[0-9]|[A-Z]+$)")),"")</f>
        <v>373</v>
      </c>
      <c r="BC11" s="71" t="str">
        <f>IFERROR(VLOOKUP(BA11,'사용자가 입력할 시트'!$AF$2:$AG$60,2,FALSE),BA11)</f>
        <v>공격력</v>
      </c>
      <c r="BD11" s="72" t="str">
        <f t="array" ref="BD11">IFERROR(TRIM(_xlfn.REGEXEXTRACT(BB11,"(\d+[%]?$|[A-Z]+$)")),"")</f>
        <v>373</v>
      </c>
      <c r="BE11" s="67" t="s">
        <v>118</v>
      </c>
      <c r="BF11" s="70" t="str">
        <f t="shared" si="18"/>
        <v>攻撃力</v>
      </c>
      <c r="BG11" s="70" t="str">
        <f t="array" ref="BG11">IFERROR(TRIM(_xlfn.REGEXEXTRACT(BE11,"(\d.+[%]?$|[0-9]|[A-Z]+$)")),"")</f>
        <v>373</v>
      </c>
      <c r="BH11" s="71" t="str">
        <f>IFERROR(VLOOKUP(BF11,'사용자가 입력할 시트'!$AF$2:$AG$60,2,FALSE),BF11)</f>
        <v>공격력</v>
      </c>
      <c r="BI11" s="72" t="str">
        <f t="array" ref="BI11">IFERROR(TRIM(_xlfn.REGEXEXTRACT(BG11,"(\d+[%]?$|[A-Z]+$)")),"")</f>
        <v>373</v>
      </c>
      <c r="BJ11" s="67" t="s">
        <v>118</v>
      </c>
      <c r="BK11" s="70" t="str">
        <f t="shared" si="19"/>
        <v>攻撃力</v>
      </c>
      <c r="BL11" s="70" t="str">
        <f t="array" ref="BL11">IFERROR(TRIM(_xlfn.REGEXEXTRACT(BJ11,"(\d.+[%]?$|[0-9]|[A-Z]+$)")),"")</f>
        <v>373</v>
      </c>
      <c r="BM11" s="71" t="str">
        <f>IFERROR(VLOOKUP(BK11,'사용자가 입력할 시트'!$AF$2:$AG$60,2,FALSE),BK11)</f>
        <v>공격력</v>
      </c>
      <c r="BN11" s="72" t="str">
        <f t="array" ref="BN11">IFERROR(TRIM(_xlfn.REGEXEXTRACT(BL11,"(\d+[%]?$|[A-Z]+$)")),"")</f>
        <v>373</v>
      </c>
      <c r="BO11" s="67" t="s">
        <v>118</v>
      </c>
      <c r="BP11" s="70" t="str">
        <f t="shared" si="20"/>
        <v>攻撃力</v>
      </c>
      <c r="BQ11" s="70" t="str">
        <f t="array" ref="BQ11">IFERROR(TRIM(_xlfn.REGEXEXTRACT(BO11,"(\d.+[%]?$|[0-9]|[A-Z]+$)")),"")</f>
        <v>373</v>
      </c>
      <c r="BR11" s="71" t="str">
        <f>IFERROR(VLOOKUP(BP11,'사용자가 입력할 시트'!$AF$2:$AG$60,2,FALSE),BP11)</f>
        <v>공격력</v>
      </c>
      <c r="BS11" s="72" t="str">
        <f t="array" ref="BS11">IFERROR(TRIM(_xlfn.REGEXEXTRACT(BQ11,"(\d+[%]?$|[A-Z]+$)")),"")</f>
        <v>373</v>
      </c>
      <c r="BT11" s="67" t="s">
        <v>118</v>
      </c>
      <c r="BU11" s="70" t="str">
        <f t="shared" si="21"/>
        <v>攻撃力</v>
      </c>
      <c r="BV11" s="70" t="str">
        <f t="array" ref="BV11">IFERROR(TRIM(_xlfn.REGEXEXTRACT(BT11,"(\d.+[%]?$|[0-9]|[A-Z]+$)")),"")</f>
        <v>373</v>
      </c>
      <c r="BW11" s="71" t="str">
        <f>IFERROR(VLOOKUP(BU11,'사용자가 입력할 시트'!$AF$2:$AG$60,2,FALSE),BU11)</f>
        <v>공격력</v>
      </c>
      <c r="BX11" s="72" t="str">
        <f t="array" ref="BX11">IFERROR(TRIM(_xlfn.REGEXEXTRACT(BV11,"(\d+[%]?$|[A-Z]+$)")),"")</f>
        <v>373</v>
      </c>
      <c r="BY11" s="67" t="s">
        <v>118</v>
      </c>
      <c r="BZ11" s="70" t="str">
        <f t="shared" si="22"/>
        <v>攻撃力</v>
      </c>
      <c r="CA11" s="70" t="str">
        <f t="array" ref="CA11">IFERROR(TRIM(_xlfn.REGEXEXTRACT(BY11,"(\d.+[%]?$|[0-9]|[A-Z]+$)")),"")</f>
        <v>373</v>
      </c>
      <c r="CB11" s="71" t="str">
        <f>IFERROR(VLOOKUP(BZ11,'사용자가 입력할 시트'!$AF$2:$AG$60,2,FALSE),BZ11)</f>
        <v>공격력</v>
      </c>
      <c r="CC11" s="72" t="str">
        <f t="array" ref="CC11">IFERROR(TRIM(_xlfn.REGEXEXTRACT(CA11,"(\d+[%]?$|[A-Z]+$)")),"")</f>
        <v>373</v>
      </c>
    </row>
    <row r="12" spans="2:81">
      <c r="B12" s="116"/>
      <c r="C12" s="100"/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4"/>
      <c r="Q12" s="15"/>
      <c r="W12" s="2" t="s">
        <v>181</v>
      </c>
      <c r="X12" s="2" t="str">
        <f t="shared" ca="1" si="11"/>
        <v>D</v>
      </c>
      <c r="Y12" s="2" t="str">
        <f t="shared" ca="1" si="12"/>
        <v>B</v>
      </c>
      <c r="Z12" s="42" t="str">
        <f t="shared" ref="Z12" ca="1" si="26">IF(X11="","",$X$4&amp;" :"&amp;X11&amp;IF(X11=X12,"","("&amp;X12&amp;")"))</f>
        <v>실내 :D</v>
      </c>
      <c r="AB12" s="74" t="s">
        <v>189</v>
      </c>
      <c r="AC12" s="42" t="s">
        <v>183</v>
      </c>
      <c r="AD12" s="4" t="str">
        <f>_xlfn.LET(_xlpm.titleCell, MATCH($AC$12, AN:AN, 0),_xlpm.nextTitleCell, IFERROR(_xlfn.AGGREGATE(15, 6, ROW($AN$2:$AN$100)/(LEFT($AN$2:$AN$100,1)="≪")/(ROW($AN$2:$AN$100)&gt;_xlpm.titleCell), 1), ROWS(AN:AN)+1),_xlpm.startRow, _xlpm.titleCell + 1,_xlpm.endRow, _xlpm.nextTitleCell - 1,_xlpm.colStart, COLUMN($AN$2),_xlpm.colEnd, _xlpm.colStart + 1,ADDRESS(_xlpm.startRow, _xlpm.colStart) &amp; ":" &amp; ADDRESS(_xlpm.endRow, _xlpm.colEnd))</f>
        <v>$AN$6:$AO$25</v>
      </c>
      <c r="AF12" s="67" t="s">
        <v>46</v>
      </c>
      <c r="AG12" s="70" t="str">
        <f t="shared" si="13"/>
        <v>治癒力</v>
      </c>
      <c r="AH12" s="70" t="str">
        <f t="array" ref="AH12">IFERROR(TRIM(_xlfn.REGEXEXTRACT(AF12,"(\d.+[%]?$|[0-9]|[A-Z]+$)")),"")</f>
        <v>1725</v>
      </c>
      <c r="AI12" s="71" t="str">
        <f>IFERROR(VLOOKUP(AG12,'사용자가 입력할 시트'!$AF$2:$AG$60,2,FALSE),AG12)</f>
        <v>회복력</v>
      </c>
      <c r="AJ12" s="72" t="str">
        <f t="array" ref="AJ12">IFERROR(TRIM(_xlfn.REGEXEXTRACT(AH12,"(\d+[%]?$|[A-Z]+$)")),"")</f>
        <v>1725</v>
      </c>
      <c r="AK12" s="67" t="s">
        <v>46</v>
      </c>
      <c r="AL12" s="70" t="str">
        <f t="shared" si="14"/>
        <v>治癒力</v>
      </c>
      <c r="AM12" s="70" t="str">
        <f t="array" ref="AM12">IFERROR(TRIM(_xlfn.REGEXEXTRACT(AK12,"(\d.+[%]?$|[0-9]|[A-Z]+$)")),"")</f>
        <v>1725</v>
      </c>
      <c r="AN12" s="71" t="str">
        <f>IFERROR(VLOOKUP(AL12,'사용자가 입력할 시트'!$AF$2:$AG$60,2,FALSE),AL12)</f>
        <v>회복력</v>
      </c>
      <c r="AO12" s="72" t="str">
        <f t="array" ref="AO12">IFERROR(TRIM(_xlfn.REGEXEXTRACT(AM12,"(\d+[%]?$|[A-Z]+$)")),"")</f>
        <v>1725</v>
      </c>
      <c r="AP12" s="67" t="s">
        <v>46</v>
      </c>
      <c r="AQ12" s="70" t="str">
        <f t="shared" si="15"/>
        <v>治癒力</v>
      </c>
      <c r="AR12" s="70" t="str">
        <f t="array" ref="AR12">IFERROR(TRIM(_xlfn.REGEXEXTRACT(AP12,"(\d.+[%]?$|[0-9]|[A-Z]+$)")),"")</f>
        <v>1725</v>
      </c>
      <c r="AS12" s="71" t="str">
        <f>IFERROR(VLOOKUP(AQ12,'사용자가 입력할 시트'!$AF$2:$AG$60,2,FALSE),AQ12)</f>
        <v>회복력</v>
      </c>
      <c r="AT12" s="72" t="str">
        <f t="array" ref="AT12">IFERROR(TRIM(_xlfn.REGEXEXTRACT(AR12,"(\d+[%]?$|[A-Z]+$)")),"")</f>
        <v>1725</v>
      </c>
      <c r="AU12" s="67" t="s">
        <v>46</v>
      </c>
      <c r="AV12" s="70" t="str">
        <f t="shared" si="16"/>
        <v>治癒力</v>
      </c>
      <c r="AW12" s="70" t="str">
        <f t="array" ref="AW12">IFERROR(TRIM(_xlfn.REGEXEXTRACT(AU12,"(\d.+[%]?$|[0-9]|[A-Z]+$)")),"")</f>
        <v>1725</v>
      </c>
      <c r="AX12" s="71" t="str">
        <f>IFERROR(VLOOKUP(AV12,'사용자가 입력할 시트'!$AF$2:$AG$60,2,FALSE),AV12)</f>
        <v>회복력</v>
      </c>
      <c r="AY12" s="72" t="str">
        <f t="array" ref="AY12">IFERROR(TRIM(_xlfn.REGEXEXTRACT(AW12,"(\d+[%]?$|[A-Z]+$)")),"")</f>
        <v>1725</v>
      </c>
      <c r="AZ12" s="67" t="s">
        <v>46</v>
      </c>
      <c r="BA12" s="70" t="str">
        <f t="shared" si="17"/>
        <v>治癒力</v>
      </c>
      <c r="BB12" s="70" t="str">
        <f t="array" ref="BB12">IFERROR(TRIM(_xlfn.REGEXEXTRACT(AZ12,"(\d.+[%]?$|[0-9]|[A-Z]+$)")),"")</f>
        <v>1725</v>
      </c>
      <c r="BC12" s="71" t="str">
        <f>IFERROR(VLOOKUP(BA12,'사용자가 입력할 시트'!$AF$2:$AG$60,2,FALSE),BA12)</f>
        <v>회복력</v>
      </c>
      <c r="BD12" s="72" t="str">
        <f t="array" ref="BD12">IFERROR(TRIM(_xlfn.REGEXEXTRACT(BB12,"(\d+[%]?$|[A-Z]+$)")),"")</f>
        <v>1725</v>
      </c>
      <c r="BE12" s="67" t="s">
        <v>46</v>
      </c>
      <c r="BF12" s="70" t="str">
        <f t="shared" si="18"/>
        <v>治癒力</v>
      </c>
      <c r="BG12" s="70" t="str">
        <f t="array" ref="BG12">IFERROR(TRIM(_xlfn.REGEXEXTRACT(BE12,"(\d.+[%]?$|[0-9]|[A-Z]+$)")),"")</f>
        <v>1725</v>
      </c>
      <c r="BH12" s="71" t="str">
        <f>IFERROR(VLOOKUP(BF12,'사용자가 입력할 시트'!$AF$2:$AG$60,2,FALSE),BF12)</f>
        <v>회복력</v>
      </c>
      <c r="BI12" s="72" t="str">
        <f t="array" ref="BI12">IFERROR(TRIM(_xlfn.REGEXEXTRACT(BG12,"(\d+[%]?$|[A-Z]+$)")),"")</f>
        <v>1725</v>
      </c>
      <c r="BJ12" s="67" t="s">
        <v>46</v>
      </c>
      <c r="BK12" s="70" t="str">
        <f t="shared" si="19"/>
        <v>治癒力</v>
      </c>
      <c r="BL12" s="70" t="str">
        <f t="array" ref="BL12">IFERROR(TRIM(_xlfn.REGEXEXTRACT(BJ12,"(\d.+[%]?$|[0-9]|[A-Z]+$)")),"")</f>
        <v>1725</v>
      </c>
      <c r="BM12" s="71" t="str">
        <f>IFERROR(VLOOKUP(BK12,'사용자가 입력할 시트'!$AF$2:$AG$60,2,FALSE),BK12)</f>
        <v>회복력</v>
      </c>
      <c r="BN12" s="72" t="str">
        <f t="array" ref="BN12">IFERROR(TRIM(_xlfn.REGEXEXTRACT(BL12,"(\d+[%]?$|[A-Z]+$)")),"")</f>
        <v>1725</v>
      </c>
      <c r="BO12" s="67" t="s">
        <v>46</v>
      </c>
      <c r="BP12" s="70" t="str">
        <f t="shared" si="20"/>
        <v>治癒力</v>
      </c>
      <c r="BQ12" s="70" t="str">
        <f t="array" ref="BQ12">IFERROR(TRIM(_xlfn.REGEXEXTRACT(BO12,"(\d.+[%]?$|[0-9]|[A-Z]+$)")),"")</f>
        <v>1725</v>
      </c>
      <c r="BR12" s="71" t="str">
        <f>IFERROR(VLOOKUP(BP12,'사용자가 입력할 시트'!$AF$2:$AG$60,2,FALSE),BP12)</f>
        <v>회복력</v>
      </c>
      <c r="BS12" s="72" t="str">
        <f t="array" ref="BS12">IFERROR(TRIM(_xlfn.REGEXEXTRACT(BQ12,"(\d+[%]?$|[A-Z]+$)")),"")</f>
        <v>1725</v>
      </c>
      <c r="BT12" s="67" t="s">
        <v>46</v>
      </c>
      <c r="BU12" s="70" t="str">
        <f t="shared" si="21"/>
        <v>治癒力</v>
      </c>
      <c r="BV12" s="70" t="str">
        <f t="array" ref="BV12">IFERROR(TRIM(_xlfn.REGEXEXTRACT(BT12,"(\d.+[%]?$|[0-9]|[A-Z]+$)")),"")</f>
        <v>1725</v>
      </c>
      <c r="BW12" s="71" t="str">
        <f>IFERROR(VLOOKUP(BU12,'사용자가 입력할 시트'!$AF$2:$AG$60,2,FALSE),BU12)</f>
        <v>회복력</v>
      </c>
      <c r="BX12" s="72" t="str">
        <f t="array" ref="BX12">IFERROR(TRIM(_xlfn.REGEXEXTRACT(BV12,"(\d+[%]?$|[A-Z]+$)")),"")</f>
        <v>1725</v>
      </c>
      <c r="BY12" s="67" t="s">
        <v>46</v>
      </c>
      <c r="BZ12" s="70" t="str">
        <f t="shared" si="22"/>
        <v>治癒力</v>
      </c>
      <c r="CA12" s="70" t="str">
        <f t="array" ref="CA12">IFERROR(TRIM(_xlfn.REGEXEXTRACT(BY12,"(\d.+[%]?$|[0-9]|[A-Z]+$)")),"")</f>
        <v>1725</v>
      </c>
      <c r="CB12" s="71" t="str">
        <f>IFERROR(VLOOKUP(BZ12,'사용자가 입력할 시트'!$AF$2:$AG$60,2,FALSE),BZ12)</f>
        <v>회복력</v>
      </c>
      <c r="CC12" s="72" t="str">
        <f t="array" ref="CC12">IFERROR(TRIM(_xlfn.REGEXEXTRACT(CA12,"(\d+[%]?$|[A-Z]+$)")),"")</f>
        <v>1725</v>
      </c>
    </row>
    <row r="13" spans="2:81">
      <c r="B13" s="112"/>
      <c r="C13" s="101"/>
      <c r="D13" s="16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9"/>
      <c r="Q13" s="58"/>
      <c r="W13" s="2" t="str">
        <f t="shared" ca="1" si="10"/>
        <v/>
      </c>
      <c r="X13" s="2" t="str">
        <f t="shared" ca="1" si="11"/>
        <v/>
      </c>
      <c r="Y13" s="2" t="str">
        <f t="shared" ca="1" si="12"/>
        <v/>
      </c>
      <c r="Z13" s="42" t="str">
        <f t="shared" ref="Z13" ca="1" si="27">IF(Y11="","",$Y$4&amp;" :"&amp;Y11&amp;IF(Y11=Y12,"","("&amp;Y12&amp;")"))</f>
        <v>야외 :B</v>
      </c>
      <c r="AB13" s="74"/>
      <c r="AC13" s="42" t="s">
        <v>184</v>
      </c>
      <c r="AD13" s="4" t="str">
        <f>_xlfn.LET(_xlpm.titleCell, MATCH($AC$13, AN:AN, 0),_xlpm.nextTitleCell, IFERROR(_xlfn.AGGREGATE(15, 6, ROW($AN$2:$AN$100)/(LEFT($AN$2:$AN$100,1)="≪")/(ROW($AN$2:$AN$100)&gt;_xlpm.titleCell), 1), ROWS(AN:AN)+1),_xlpm.startRow, _xlpm.titleCell + 1,_xlpm.endRow, _xlpm.nextTitleCell - 1,_xlpm.colStart, COLUMN($AN$2),_xlpm.colEnd, _xlpm.colStart + 1,ADDRESS(_xlpm.startRow, _xlpm.colStart) &amp; ":" &amp; ADDRESS(_xlpm.endRow, _xlpm.colEnd))</f>
        <v>$AN$27:$AO$46</v>
      </c>
      <c r="AF13" s="67" t="s">
        <v>49</v>
      </c>
      <c r="AG13" s="70" t="str">
        <f t="shared" si="13"/>
        <v>回避値</v>
      </c>
      <c r="AH13" s="70" t="str">
        <f t="array" ref="AH13">IFERROR(TRIM(_xlfn.REGEXEXTRACT(AF13,"(\d.+[%]?$|[0-9]|[A-Z]+$)")),"")</f>
        <v>190</v>
      </c>
      <c r="AI13" s="71" t="str">
        <f>IFERROR(VLOOKUP(AG13,'사용자가 입력할 시트'!$AF$2:$AG$60,2,FALSE),AG13)</f>
        <v>회피 수치</v>
      </c>
      <c r="AJ13" s="72" t="str">
        <f t="array" ref="AJ13">IFERROR(TRIM(_xlfn.REGEXEXTRACT(AH13,"(\d+[%]?$|[A-Z]+$)")),"")</f>
        <v>190</v>
      </c>
      <c r="AK13" s="67" t="s">
        <v>49</v>
      </c>
      <c r="AL13" s="70" t="str">
        <f t="shared" si="14"/>
        <v>回避値</v>
      </c>
      <c r="AM13" s="70" t="str">
        <f t="array" ref="AM13">IFERROR(TRIM(_xlfn.REGEXEXTRACT(AK13,"(\d.+[%]?$|[0-9]|[A-Z]+$)")),"")</f>
        <v>190</v>
      </c>
      <c r="AN13" s="71" t="str">
        <f>IFERROR(VLOOKUP(AL13,'사용자가 입력할 시트'!$AF$2:$AG$60,2,FALSE),AL13)</f>
        <v>회피 수치</v>
      </c>
      <c r="AO13" s="72" t="str">
        <f t="array" ref="AO13">IFERROR(TRIM(_xlfn.REGEXEXTRACT(AM13,"(\d+[%]?$|[A-Z]+$)")),"")</f>
        <v>190</v>
      </c>
      <c r="AP13" s="67" t="s">
        <v>49</v>
      </c>
      <c r="AQ13" s="70" t="str">
        <f t="shared" si="15"/>
        <v>回避値</v>
      </c>
      <c r="AR13" s="70" t="str">
        <f t="array" ref="AR13">IFERROR(TRIM(_xlfn.REGEXEXTRACT(AP13,"(\d.+[%]?$|[0-9]|[A-Z]+$)")),"")</f>
        <v>190</v>
      </c>
      <c r="AS13" s="71" t="str">
        <f>IFERROR(VLOOKUP(AQ13,'사용자가 입력할 시트'!$AF$2:$AG$60,2,FALSE),AQ13)</f>
        <v>회피 수치</v>
      </c>
      <c r="AT13" s="72" t="str">
        <f t="array" ref="AT13">IFERROR(TRIM(_xlfn.REGEXEXTRACT(AR13,"(\d+[%]?$|[A-Z]+$)")),"")</f>
        <v>190</v>
      </c>
      <c r="AU13" s="67" t="s">
        <v>49</v>
      </c>
      <c r="AV13" s="70" t="str">
        <f t="shared" si="16"/>
        <v>回避値</v>
      </c>
      <c r="AW13" s="70" t="str">
        <f t="array" ref="AW13">IFERROR(TRIM(_xlfn.REGEXEXTRACT(AU13,"(\d.+[%]?$|[0-9]|[A-Z]+$)")),"")</f>
        <v>190</v>
      </c>
      <c r="AX13" s="71" t="str">
        <f>IFERROR(VLOOKUP(AV13,'사용자가 입력할 시트'!$AF$2:$AG$60,2,FALSE),AV13)</f>
        <v>회피 수치</v>
      </c>
      <c r="AY13" s="72" t="str">
        <f t="array" ref="AY13">IFERROR(TRIM(_xlfn.REGEXEXTRACT(AW13,"(\d+[%]?$|[A-Z]+$)")),"")</f>
        <v>190</v>
      </c>
      <c r="AZ13" s="67" t="s">
        <v>49</v>
      </c>
      <c r="BA13" s="70" t="str">
        <f t="shared" si="17"/>
        <v>回避値</v>
      </c>
      <c r="BB13" s="70" t="str">
        <f t="array" ref="BB13">IFERROR(TRIM(_xlfn.REGEXEXTRACT(AZ13,"(\d.+[%]?$|[0-9]|[A-Z]+$)")),"")</f>
        <v>190</v>
      </c>
      <c r="BC13" s="71" t="str">
        <f>IFERROR(VLOOKUP(BA13,'사용자가 입력할 시트'!$AF$2:$AG$60,2,FALSE),BA13)</f>
        <v>회피 수치</v>
      </c>
      <c r="BD13" s="72" t="str">
        <f t="array" ref="BD13">IFERROR(TRIM(_xlfn.REGEXEXTRACT(BB13,"(\d+[%]?$|[A-Z]+$)")),"")</f>
        <v>190</v>
      </c>
      <c r="BE13" s="67" t="s">
        <v>49</v>
      </c>
      <c r="BF13" s="70" t="str">
        <f t="shared" si="18"/>
        <v>回避値</v>
      </c>
      <c r="BG13" s="70" t="str">
        <f t="array" ref="BG13">IFERROR(TRIM(_xlfn.REGEXEXTRACT(BE13,"(\d.+[%]?$|[0-9]|[A-Z]+$)")),"")</f>
        <v>190</v>
      </c>
      <c r="BH13" s="71" t="str">
        <f>IFERROR(VLOOKUP(BF13,'사용자가 입력할 시트'!$AF$2:$AG$60,2,FALSE),BF13)</f>
        <v>회피 수치</v>
      </c>
      <c r="BI13" s="72" t="str">
        <f t="array" ref="BI13">IFERROR(TRIM(_xlfn.REGEXEXTRACT(BG13,"(\d+[%]?$|[A-Z]+$)")),"")</f>
        <v>190</v>
      </c>
      <c r="BJ13" s="67" t="s">
        <v>49</v>
      </c>
      <c r="BK13" s="70" t="str">
        <f t="shared" si="19"/>
        <v>回避値</v>
      </c>
      <c r="BL13" s="70" t="str">
        <f t="array" ref="BL13">IFERROR(TRIM(_xlfn.REGEXEXTRACT(BJ13,"(\d.+[%]?$|[0-9]|[A-Z]+$)")),"")</f>
        <v>190</v>
      </c>
      <c r="BM13" s="71" t="str">
        <f>IFERROR(VLOOKUP(BK13,'사용자가 입력할 시트'!$AF$2:$AG$60,2,FALSE),BK13)</f>
        <v>회피 수치</v>
      </c>
      <c r="BN13" s="72" t="str">
        <f t="array" ref="BN13">IFERROR(TRIM(_xlfn.REGEXEXTRACT(BL13,"(\d+[%]?$|[A-Z]+$)")),"")</f>
        <v>190</v>
      </c>
      <c r="BO13" s="67" t="s">
        <v>49</v>
      </c>
      <c r="BP13" s="70" t="str">
        <f t="shared" si="20"/>
        <v>回避値</v>
      </c>
      <c r="BQ13" s="70" t="str">
        <f t="array" ref="BQ13">IFERROR(TRIM(_xlfn.REGEXEXTRACT(BO13,"(\d.+[%]?$|[0-9]|[A-Z]+$)")),"")</f>
        <v>190</v>
      </c>
      <c r="BR13" s="71" t="str">
        <f>IFERROR(VLOOKUP(BP13,'사용자가 입력할 시트'!$AF$2:$AG$60,2,FALSE),BP13)</f>
        <v>회피 수치</v>
      </c>
      <c r="BS13" s="72" t="str">
        <f t="array" ref="BS13">IFERROR(TRIM(_xlfn.REGEXEXTRACT(BQ13,"(\d+[%]?$|[A-Z]+$)")),"")</f>
        <v>190</v>
      </c>
      <c r="BT13" s="67" t="s">
        <v>49</v>
      </c>
      <c r="BU13" s="70" t="str">
        <f t="shared" si="21"/>
        <v>回避値</v>
      </c>
      <c r="BV13" s="70" t="str">
        <f t="array" ref="BV13">IFERROR(TRIM(_xlfn.REGEXEXTRACT(BT13,"(\d.+[%]?$|[0-9]|[A-Z]+$)")),"")</f>
        <v>190</v>
      </c>
      <c r="BW13" s="71" t="str">
        <f>IFERROR(VLOOKUP(BU13,'사용자가 입력할 시트'!$AF$2:$AG$60,2,FALSE),BU13)</f>
        <v>회피 수치</v>
      </c>
      <c r="BX13" s="72" t="str">
        <f t="array" ref="BX13">IFERROR(TRIM(_xlfn.REGEXEXTRACT(BV13,"(\d+[%]?$|[A-Z]+$)")),"")</f>
        <v>190</v>
      </c>
      <c r="BY13" s="67" t="s">
        <v>49</v>
      </c>
      <c r="BZ13" s="70" t="str">
        <f t="shared" si="22"/>
        <v>回避値</v>
      </c>
      <c r="CA13" s="70" t="str">
        <f t="array" ref="CA13">IFERROR(TRIM(_xlfn.REGEXEXTRACT(BY13,"(\d.+[%]?$|[0-9]|[A-Z]+$)")),"")</f>
        <v>190</v>
      </c>
      <c r="CB13" s="71" t="str">
        <f>IFERROR(VLOOKUP(BZ13,'사용자가 입력할 시트'!$AF$2:$AG$60,2,FALSE),BZ13)</f>
        <v>회피 수치</v>
      </c>
      <c r="CC13" s="72" t="str">
        <f t="array" ref="CC13">IFERROR(TRIM(_xlfn.REGEXEXTRACT(CA13,"(\d+[%]?$|[A-Z]+$)")),"")</f>
        <v>190</v>
      </c>
    </row>
    <row r="14" spans="2:81" ht="16.5" customHeight="1">
      <c r="B14" s="112"/>
      <c r="C14" s="102" t="s">
        <v>24</v>
      </c>
      <c r="D14" s="22"/>
      <c r="E14" s="23"/>
      <c r="F14" s="23"/>
      <c r="G14" s="23"/>
      <c r="H14" s="22"/>
      <c r="I14" s="23"/>
      <c r="J14" s="23"/>
      <c r="K14" s="23"/>
      <c r="L14" s="23"/>
      <c r="M14" s="23"/>
      <c r="N14" s="23"/>
      <c r="O14" s="23"/>
      <c r="P14" s="24"/>
      <c r="Q14" s="59"/>
      <c r="W14" s="2" t="str">
        <f t="shared" ca="1" si="10"/>
        <v/>
      </c>
      <c r="X14" s="2" t="str">
        <f t="shared" ca="1" si="11"/>
        <v/>
      </c>
      <c r="Y14" s="2" t="str">
        <f t="shared" ca="1" si="12"/>
        <v/>
      </c>
      <c r="Z14" s="42" t="str">
        <f t="shared" ref="Z14" ca="1" si="28">IF(W14="","",$W$4&amp;" :"&amp;W14&amp;IF(W14=W15,"","("&amp;W15&amp;")"))</f>
        <v/>
      </c>
      <c r="AB14" s="74"/>
      <c r="AC14" s="42" t="s">
        <v>185</v>
      </c>
      <c r="AD14" s="4" t="str">
        <f>_xlfn.LET(_xlpm.titleCell, MATCH($AC$14, AN:AN, 0),_xlpm.nextTitleCell, IFERROR(_xlfn.AGGREGATE(15, 6, ROW($AN$2:$AN$100)/(LEFT($AN$2:$AN$100,1)="≪")/(ROW($AN$2:$AN$100)&gt;_xlpm.titleCell), 1), ROWS(AN:AN)+1),_xlpm.startRow, _xlpm.titleCell + 1,_xlpm.endRow, _xlpm.nextTitleCell - 1,_xlpm.colStart, COLUMN($AN$2),_xlpm.colEnd, _xlpm.colStart + 1,ADDRESS(_xlpm.startRow, _xlpm.colStart) &amp; ":" &amp; ADDRESS(_xlpm.endRow, _xlpm.colEnd))</f>
        <v>$AN$48:$AO$50</v>
      </c>
      <c r="AF14" s="68" t="s">
        <v>52</v>
      </c>
      <c r="AG14" s="70" t="str">
        <f t="shared" si="13"/>
        <v>会心ダメージ</v>
      </c>
      <c r="AH14" s="70" t="str">
        <f t="array" ref="AH14">IFERROR(TRIM(_xlfn.REGEXEXTRACT(AF14,"(\d.+[%]?$|[0-9]|[A-Z]+$)")),"")</f>
        <v>200%</v>
      </c>
      <c r="AI14" s="71" t="str">
        <f>IFERROR(VLOOKUP(AG14,'사용자가 입력할 시트'!$AF$2:$AG$60,2,FALSE),AG14)</f>
        <v>치명대미지</v>
      </c>
      <c r="AJ14" s="72" t="str">
        <f t="array" ref="AJ14">IFERROR(TRIM(_xlfn.REGEXEXTRACT(AH14,"(\d+[%]?$|[A-Z]+$)")),"")</f>
        <v>200%</v>
      </c>
      <c r="AK14" s="68" t="s">
        <v>52</v>
      </c>
      <c r="AL14" s="70" t="str">
        <f t="shared" si="14"/>
        <v>会心ダメージ</v>
      </c>
      <c r="AM14" s="70" t="str">
        <f t="array" ref="AM14">IFERROR(TRIM(_xlfn.REGEXEXTRACT(AK14,"(\d.+[%]?$|[0-9]|[A-Z]+$)")),"")</f>
        <v>200%</v>
      </c>
      <c r="AN14" s="71" t="str">
        <f>IFERROR(VLOOKUP(AL14,'사용자가 입력할 시트'!$AF$2:$AG$60,2,FALSE),AL14)</f>
        <v>치명대미지</v>
      </c>
      <c r="AO14" s="72" t="str">
        <f t="array" ref="AO14">IFERROR(TRIM(_xlfn.REGEXEXTRACT(AM14,"(\d+[%]?$|[A-Z]+$)")),"")</f>
        <v>200%</v>
      </c>
      <c r="AP14" s="68" t="s">
        <v>52</v>
      </c>
      <c r="AQ14" s="70" t="str">
        <f t="shared" si="15"/>
        <v>会心ダメージ</v>
      </c>
      <c r="AR14" s="70" t="str">
        <f t="array" ref="AR14">IFERROR(TRIM(_xlfn.REGEXEXTRACT(AP14,"(\d.+[%]?$|[0-9]|[A-Z]+$)")),"")</f>
        <v>200%</v>
      </c>
      <c r="AS14" s="71" t="str">
        <f>IFERROR(VLOOKUP(AQ14,'사용자가 입력할 시트'!$AF$2:$AG$60,2,FALSE),AQ14)</f>
        <v>치명대미지</v>
      </c>
      <c r="AT14" s="72" t="str">
        <f t="array" ref="AT14">IFERROR(TRIM(_xlfn.REGEXEXTRACT(AR14,"(\d+[%]?$|[A-Z]+$)")),"")</f>
        <v>200%</v>
      </c>
      <c r="AU14" s="68" t="s">
        <v>52</v>
      </c>
      <c r="AV14" s="70" t="str">
        <f t="shared" si="16"/>
        <v>会心ダメージ</v>
      </c>
      <c r="AW14" s="70" t="str">
        <f t="array" ref="AW14">IFERROR(TRIM(_xlfn.REGEXEXTRACT(AU14,"(\d.+[%]?$|[0-9]|[A-Z]+$)")),"")</f>
        <v>200%</v>
      </c>
      <c r="AX14" s="71" t="str">
        <f>IFERROR(VLOOKUP(AV14,'사용자가 입력할 시트'!$AF$2:$AG$60,2,FALSE),AV14)</f>
        <v>치명대미지</v>
      </c>
      <c r="AY14" s="72" t="str">
        <f t="array" ref="AY14">IFERROR(TRIM(_xlfn.REGEXEXTRACT(AW14,"(\d+[%]?$|[A-Z]+$)")),"")</f>
        <v>200%</v>
      </c>
      <c r="AZ14" s="68" t="s">
        <v>52</v>
      </c>
      <c r="BA14" s="70" t="str">
        <f t="shared" si="17"/>
        <v>会心ダメージ</v>
      </c>
      <c r="BB14" s="70" t="str">
        <f t="array" ref="BB14">IFERROR(TRIM(_xlfn.REGEXEXTRACT(AZ14,"(\d.+[%]?$|[0-9]|[A-Z]+$)")),"")</f>
        <v>200%</v>
      </c>
      <c r="BC14" s="71" t="str">
        <f>IFERROR(VLOOKUP(BA14,'사용자가 입력할 시트'!$AF$2:$AG$60,2,FALSE),BA14)</f>
        <v>치명대미지</v>
      </c>
      <c r="BD14" s="72" t="str">
        <f t="array" ref="BD14">IFERROR(TRIM(_xlfn.REGEXEXTRACT(BB14,"(\d+[%]?$|[A-Z]+$)")),"")</f>
        <v>200%</v>
      </c>
      <c r="BE14" s="68" t="s">
        <v>52</v>
      </c>
      <c r="BF14" s="70" t="str">
        <f t="shared" si="18"/>
        <v>会心ダメージ</v>
      </c>
      <c r="BG14" s="70" t="str">
        <f t="array" ref="BG14">IFERROR(TRIM(_xlfn.REGEXEXTRACT(BE14,"(\d.+[%]?$|[0-9]|[A-Z]+$)")),"")</f>
        <v>200%</v>
      </c>
      <c r="BH14" s="71" t="str">
        <f>IFERROR(VLOOKUP(BF14,'사용자가 입력할 시트'!$AF$2:$AG$60,2,FALSE),BF14)</f>
        <v>치명대미지</v>
      </c>
      <c r="BI14" s="72" t="str">
        <f t="array" ref="BI14">IFERROR(TRIM(_xlfn.REGEXEXTRACT(BG14,"(\d+[%]?$|[A-Z]+$)")),"")</f>
        <v>200%</v>
      </c>
      <c r="BJ14" s="68" t="s">
        <v>52</v>
      </c>
      <c r="BK14" s="70" t="str">
        <f t="shared" si="19"/>
        <v>会心ダメージ</v>
      </c>
      <c r="BL14" s="70" t="str">
        <f t="array" ref="BL14">IFERROR(TRIM(_xlfn.REGEXEXTRACT(BJ14,"(\d.+[%]?$|[0-9]|[A-Z]+$)")),"")</f>
        <v>200%</v>
      </c>
      <c r="BM14" s="71" t="str">
        <f>IFERROR(VLOOKUP(BK14,'사용자가 입력할 시트'!$AF$2:$AG$60,2,FALSE),BK14)</f>
        <v>치명대미지</v>
      </c>
      <c r="BN14" s="72" t="str">
        <f t="array" ref="BN14">IFERROR(TRIM(_xlfn.REGEXEXTRACT(BL14,"(\d+[%]?$|[A-Z]+$)")),"")</f>
        <v>200%</v>
      </c>
      <c r="BO14" s="68" t="s">
        <v>52</v>
      </c>
      <c r="BP14" s="70" t="str">
        <f t="shared" si="20"/>
        <v>会心ダメージ</v>
      </c>
      <c r="BQ14" s="70" t="str">
        <f t="array" ref="BQ14">IFERROR(TRIM(_xlfn.REGEXEXTRACT(BO14,"(\d.+[%]?$|[0-9]|[A-Z]+$)")),"")</f>
        <v>200%</v>
      </c>
      <c r="BR14" s="71" t="str">
        <f>IFERROR(VLOOKUP(BP14,'사용자가 입력할 시트'!$AF$2:$AG$60,2,FALSE),BP14)</f>
        <v>치명대미지</v>
      </c>
      <c r="BS14" s="72" t="str">
        <f t="array" ref="BS14">IFERROR(TRIM(_xlfn.REGEXEXTRACT(BQ14,"(\d+[%]?$|[A-Z]+$)")),"")</f>
        <v>200%</v>
      </c>
      <c r="BT14" s="68" t="s">
        <v>52</v>
      </c>
      <c r="BU14" s="70" t="str">
        <f t="shared" si="21"/>
        <v>会心ダメージ</v>
      </c>
      <c r="BV14" s="70" t="str">
        <f t="array" ref="BV14">IFERROR(TRIM(_xlfn.REGEXEXTRACT(BT14,"(\d.+[%]?$|[0-9]|[A-Z]+$)")),"")</f>
        <v>200%</v>
      </c>
      <c r="BW14" s="71" t="str">
        <f>IFERROR(VLOOKUP(BU14,'사용자가 입력할 시트'!$AF$2:$AG$60,2,FALSE),BU14)</f>
        <v>치명대미지</v>
      </c>
      <c r="BX14" s="72" t="str">
        <f t="array" ref="BX14">IFERROR(TRIM(_xlfn.REGEXEXTRACT(BV14,"(\d+[%]?$|[A-Z]+$)")),"")</f>
        <v>200%</v>
      </c>
      <c r="BY14" s="68" t="s">
        <v>52</v>
      </c>
      <c r="BZ14" s="70" t="str">
        <f t="shared" si="22"/>
        <v>会心ダメージ</v>
      </c>
      <c r="CA14" s="70" t="str">
        <f t="array" ref="CA14">IFERROR(TRIM(_xlfn.REGEXEXTRACT(BY14,"(\d.+[%]?$|[0-9]|[A-Z]+$)")),"")</f>
        <v>200%</v>
      </c>
      <c r="CB14" s="71" t="str">
        <f>IFERROR(VLOOKUP(BZ14,'사용자가 입력할 시트'!$AF$2:$AG$60,2,FALSE),BZ14)</f>
        <v>치명대미지</v>
      </c>
      <c r="CC14" s="72" t="str">
        <f t="array" ref="CC14">IFERROR(TRIM(_xlfn.REGEXEXTRACT(CA14,"(\d+[%]?$|[A-Z]+$)")),"")</f>
        <v>200%</v>
      </c>
    </row>
    <row r="15" spans="2:81" ht="16.5" customHeight="1">
      <c r="B15" s="113"/>
      <c r="C15" s="101"/>
      <c r="D15" s="29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9"/>
      <c r="Q15" s="58"/>
      <c r="W15" s="2" t="str">
        <f t="shared" ca="1" si="10"/>
        <v/>
      </c>
      <c r="X15" s="2" t="str">
        <f t="shared" ca="1" si="11"/>
        <v/>
      </c>
      <c r="Y15" s="2" t="str">
        <f t="shared" ca="1" si="12"/>
        <v/>
      </c>
      <c r="Z15" s="42" t="str">
        <f t="shared" ref="Z15" ca="1" si="29">IF(X14="","",$X$4&amp;" :"&amp;X14&amp;IF(X14=X15,"","("&amp;X15&amp;")"))</f>
        <v/>
      </c>
      <c r="AB15" s="74"/>
      <c r="AC15" s="42" t="s">
        <v>186</v>
      </c>
      <c r="AD15" s="4" t="str">
        <f>_xlfn.LET(_xlpm.titleCell, MATCH($AC$15, AN:AN, 0),_xlpm.nextTitleCell, IFERROR(_xlfn.AGGREGATE(15, 6, ROW($AN$2:$AN$100)/(LEFT($AN$2:$AN$100,1)="≪")/(ROW($AN$2:$AN$100)&gt;_xlpm.titleCell), 1), ROWS(AN:AN)+1),_xlpm.startRow, _xlpm.titleCell + 1,_xlpm.endRow, _xlpm.nextTitleCell - 1,_xlpm.colStart, COLUMN($AN$2),_xlpm.colEnd, _xlpm.colStart + 1,ADDRESS(_xlpm.startRow, _xlpm.colStart) &amp; ":" &amp; ADDRESS(_xlpm.endRow, _xlpm.colEnd))</f>
        <v>$AN$52:$AO$55</v>
      </c>
      <c r="AF15" s="68" t="s">
        <v>54</v>
      </c>
      <c r="AG15" s="70" t="str">
        <f t="shared" si="13"/>
        <v>安定値</v>
      </c>
      <c r="AH15" s="70" t="str">
        <f t="array" ref="AH15">IFERROR(TRIM(_xlfn.REGEXEXTRACT(AF15,"(\d.+[%]?$|[0-9]|[A-Z]+$)")),"")</f>
        <v>1900</v>
      </c>
      <c r="AI15" s="71" t="str">
        <f>IFERROR(VLOOKUP(AG15,'사용자가 입력할 시트'!$AF$2:$AG$60,2,FALSE),AG15)</f>
        <v>안정 수치</v>
      </c>
      <c r="AJ15" s="72" t="str">
        <f t="array" ref="AJ15">IFERROR(TRIM(_xlfn.REGEXEXTRACT(AH15,"(\d+[%]?$|[A-Z]+$)")),"")</f>
        <v>1900</v>
      </c>
      <c r="AK15" s="68" t="s">
        <v>54</v>
      </c>
      <c r="AL15" s="70" t="str">
        <f t="shared" si="14"/>
        <v>安定値</v>
      </c>
      <c r="AM15" s="70" t="str">
        <f t="array" ref="AM15">IFERROR(TRIM(_xlfn.REGEXEXTRACT(AK15,"(\d.+[%]?$|[0-9]|[A-Z]+$)")),"")</f>
        <v>1900</v>
      </c>
      <c r="AN15" s="71" t="str">
        <f>IFERROR(VLOOKUP(AL15,'사용자가 입력할 시트'!$AF$2:$AG$60,2,FALSE),AL15)</f>
        <v>안정 수치</v>
      </c>
      <c r="AO15" s="72" t="str">
        <f t="array" ref="AO15">IFERROR(TRIM(_xlfn.REGEXEXTRACT(AM15,"(\d+[%]?$|[A-Z]+$)")),"")</f>
        <v>1900</v>
      </c>
      <c r="AP15" s="68" t="s">
        <v>54</v>
      </c>
      <c r="AQ15" s="70" t="str">
        <f t="shared" si="15"/>
        <v>安定値</v>
      </c>
      <c r="AR15" s="70" t="str">
        <f t="array" ref="AR15">IFERROR(TRIM(_xlfn.REGEXEXTRACT(AP15,"(\d.+[%]?$|[0-9]|[A-Z]+$)")),"")</f>
        <v>1900</v>
      </c>
      <c r="AS15" s="71" t="str">
        <f>IFERROR(VLOOKUP(AQ15,'사용자가 입력할 시트'!$AF$2:$AG$60,2,FALSE),AQ15)</f>
        <v>안정 수치</v>
      </c>
      <c r="AT15" s="72" t="str">
        <f t="array" ref="AT15">IFERROR(TRIM(_xlfn.REGEXEXTRACT(AR15,"(\d+[%]?$|[A-Z]+$)")),"")</f>
        <v>1900</v>
      </c>
      <c r="AU15" s="68" t="s">
        <v>54</v>
      </c>
      <c r="AV15" s="70" t="str">
        <f t="shared" si="16"/>
        <v>安定値</v>
      </c>
      <c r="AW15" s="70" t="str">
        <f t="array" ref="AW15">IFERROR(TRIM(_xlfn.REGEXEXTRACT(AU15,"(\d.+[%]?$|[0-9]|[A-Z]+$)")),"")</f>
        <v>1900</v>
      </c>
      <c r="AX15" s="71" t="str">
        <f>IFERROR(VLOOKUP(AV15,'사용자가 입력할 시트'!$AF$2:$AG$60,2,FALSE),AV15)</f>
        <v>안정 수치</v>
      </c>
      <c r="AY15" s="72" t="str">
        <f t="array" ref="AY15">IFERROR(TRIM(_xlfn.REGEXEXTRACT(AW15,"(\d+[%]?$|[A-Z]+$)")),"")</f>
        <v>1900</v>
      </c>
      <c r="AZ15" s="68" t="s">
        <v>54</v>
      </c>
      <c r="BA15" s="70" t="str">
        <f t="shared" si="17"/>
        <v>安定値</v>
      </c>
      <c r="BB15" s="70" t="str">
        <f t="array" ref="BB15">IFERROR(TRIM(_xlfn.REGEXEXTRACT(AZ15,"(\d.+[%]?$|[0-9]|[A-Z]+$)")),"")</f>
        <v>1900</v>
      </c>
      <c r="BC15" s="71" t="str">
        <f>IFERROR(VLOOKUP(BA15,'사용자가 입력할 시트'!$AF$2:$AG$60,2,FALSE),BA15)</f>
        <v>안정 수치</v>
      </c>
      <c r="BD15" s="72" t="str">
        <f t="array" ref="BD15">IFERROR(TRIM(_xlfn.REGEXEXTRACT(BB15,"(\d+[%]?$|[A-Z]+$)")),"")</f>
        <v>1900</v>
      </c>
      <c r="BE15" s="68" t="s">
        <v>54</v>
      </c>
      <c r="BF15" s="70" t="str">
        <f t="shared" si="18"/>
        <v>安定値</v>
      </c>
      <c r="BG15" s="70" t="str">
        <f t="array" ref="BG15">IFERROR(TRIM(_xlfn.REGEXEXTRACT(BE15,"(\d.+[%]?$|[0-9]|[A-Z]+$)")),"")</f>
        <v>1900</v>
      </c>
      <c r="BH15" s="71" t="str">
        <f>IFERROR(VLOOKUP(BF15,'사용자가 입력할 시트'!$AF$2:$AG$60,2,FALSE),BF15)</f>
        <v>안정 수치</v>
      </c>
      <c r="BI15" s="72" t="str">
        <f t="array" ref="BI15">IFERROR(TRIM(_xlfn.REGEXEXTRACT(BG15,"(\d+[%]?$|[A-Z]+$)")),"")</f>
        <v>1900</v>
      </c>
      <c r="BJ15" s="68" t="s">
        <v>54</v>
      </c>
      <c r="BK15" s="70" t="str">
        <f t="shared" si="19"/>
        <v>安定値</v>
      </c>
      <c r="BL15" s="70" t="str">
        <f t="array" ref="BL15">IFERROR(TRIM(_xlfn.REGEXEXTRACT(BJ15,"(\d.+[%]?$|[0-9]|[A-Z]+$)")),"")</f>
        <v>1900</v>
      </c>
      <c r="BM15" s="71" t="str">
        <f>IFERROR(VLOOKUP(BK15,'사용자가 입력할 시트'!$AF$2:$AG$60,2,FALSE),BK15)</f>
        <v>안정 수치</v>
      </c>
      <c r="BN15" s="72" t="str">
        <f t="array" ref="BN15">IFERROR(TRIM(_xlfn.REGEXEXTRACT(BL15,"(\d+[%]?$|[A-Z]+$)")),"")</f>
        <v>1900</v>
      </c>
      <c r="BO15" s="68" t="s">
        <v>54</v>
      </c>
      <c r="BP15" s="70" t="str">
        <f t="shared" si="20"/>
        <v>安定値</v>
      </c>
      <c r="BQ15" s="70" t="str">
        <f t="array" ref="BQ15">IFERROR(TRIM(_xlfn.REGEXEXTRACT(BO15,"(\d.+[%]?$|[0-9]|[A-Z]+$)")),"")</f>
        <v>1900</v>
      </c>
      <c r="BR15" s="71" t="str">
        <f>IFERROR(VLOOKUP(BP15,'사용자가 입력할 시트'!$AF$2:$AG$60,2,FALSE),BP15)</f>
        <v>안정 수치</v>
      </c>
      <c r="BS15" s="72" t="str">
        <f t="array" ref="BS15">IFERROR(TRIM(_xlfn.REGEXEXTRACT(BQ15,"(\d+[%]?$|[A-Z]+$)")),"")</f>
        <v>1900</v>
      </c>
      <c r="BT15" s="68" t="s">
        <v>54</v>
      </c>
      <c r="BU15" s="70" t="str">
        <f t="shared" si="21"/>
        <v>安定値</v>
      </c>
      <c r="BV15" s="70" t="str">
        <f t="array" ref="BV15">IFERROR(TRIM(_xlfn.REGEXEXTRACT(BT15,"(\d.+[%]?$|[0-9]|[A-Z]+$)")),"")</f>
        <v>1900</v>
      </c>
      <c r="BW15" s="71" t="str">
        <f>IFERROR(VLOOKUP(BU15,'사용자가 입력할 시트'!$AF$2:$AG$60,2,FALSE),BU15)</f>
        <v>안정 수치</v>
      </c>
      <c r="BX15" s="72" t="str">
        <f t="array" ref="BX15">IFERROR(TRIM(_xlfn.REGEXEXTRACT(BV15,"(\d+[%]?$|[A-Z]+$)")),"")</f>
        <v>1900</v>
      </c>
      <c r="BY15" s="68" t="s">
        <v>54</v>
      </c>
      <c r="BZ15" s="70" t="str">
        <f t="shared" si="22"/>
        <v>安定値</v>
      </c>
      <c r="CA15" s="70" t="str">
        <f t="array" ref="CA15">IFERROR(TRIM(_xlfn.REGEXEXTRACT(BY15,"(\d.+[%]?$|[0-9]|[A-Z]+$)")),"")</f>
        <v>1900</v>
      </c>
      <c r="CB15" s="71" t="str">
        <f>IFERROR(VLOOKUP(BZ15,'사용자가 입력할 시트'!$AF$2:$AG$60,2,FALSE),BZ15)</f>
        <v>안정 수치</v>
      </c>
      <c r="CC15" s="72" t="str">
        <f t="array" ref="CC15">IFERROR(TRIM(_xlfn.REGEXEXTRACT(CA15,"(\d+[%]?$|[A-Z]+$)")),"")</f>
        <v>1900</v>
      </c>
    </row>
    <row r="16" spans="2:81" ht="16.5" customHeight="1">
      <c r="B16" s="60"/>
      <c r="C16" s="103" t="s">
        <v>173</v>
      </c>
      <c r="D16" s="22"/>
      <c r="E16" s="23"/>
      <c r="F16" s="23"/>
      <c r="G16" s="23"/>
      <c r="H16" s="23"/>
      <c r="I16" s="22"/>
      <c r="J16" s="22"/>
      <c r="K16" s="22"/>
      <c r="L16" s="22"/>
      <c r="M16" s="23"/>
      <c r="N16" s="23"/>
      <c r="O16" s="22"/>
      <c r="P16" s="27"/>
      <c r="Q16" s="61"/>
      <c r="W16" s="2" t="str">
        <f t="shared" ca="1" si="10"/>
        <v/>
      </c>
      <c r="X16" s="2" t="str">
        <f t="shared" ca="1" si="11"/>
        <v/>
      </c>
      <c r="Y16" s="2" t="str">
        <f t="shared" ca="1" si="12"/>
        <v/>
      </c>
      <c r="Z16" s="42" t="str">
        <f t="shared" ref="Z16" ca="1" si="30">IF(Y14="","",$Y$4&amp;" :"&amp;Y14&amp;IF(Y14=Y15,"","("&amp;Y15&amp;")"))</f>
        <v/>
      </c>
      <c r="AB16" s="74"/>
      <c r="AC16" s="42" t="s">
        <v>187</v>
      </c>
      <c r="AD16" s="4" t="str">
        <f>_xlfn.LET(_xlpm.titleCell, MATCH($AC$16, AN:AN, 0),_xlpm.nextTitleCell, IFERROR(_xlfn.AGGREGATE(15, 6, ROW($AN$2:$AN$100)/(LEFT($AN$2:$AN$100,1)="≪")/(ROW($AN$2:$AN$100)&gt;_xlpm.titleCell), 1), ROWS(AN:AN)+1),_xlpm.startRow, _xlpm.titleCell + 1,_xlpm.endRow, _xlpm.nextTitleCell - 1,_xlpm.colStart, COLUMN($AN$2),_xlpm.colEnd, _xlpm.colStart + 1,ADDRESS(_xlpm.startRow, _xlpm.colStart) &amp; ":" &amp; ADDRESS(_xlpm.endRow, _xlpm.colEnd))</f>
        <v>$AN$57:$AO$59</v>
      </c>
      <c r="AF16" s="67" t="s">
        <v>95</v>
      </c>
      <c r="AG16" s="70" t="str">
        <f t="shared" si="13"/>
        <v>射程距離</v>
      </c>
      <c r="AH16" s="70" t="str">
        <f t="array" ref="AH16">IFERROR(TRIM(_xlfn.REGEXEXTRACT(AF16,"(\d.+[%]?$|[0-9]|[A-Z]+$)")),"")</f>
        <v>750</v>
      </c>
      <c r="AI16" s="71" t="str">
        <f>IFERROR(VLOOKUP(AG16,'사용자가 입력할 시트'!$AF$2:$AG$60,2,FALSE),AG16)</f>
        <v>사정거리</v>
      </c>
      <c r="AJ16" s="72" t="str">
        <f t="array" ref="AJ16">IFERROR(TRIM(_xlfn.REGEXEXTRACT(AH16,"(\d+[%]?$|[A-Z]+$)")),"")</f>
        <v>750</v>
      </c>
      <c r="AK16" s="67" t="s">
        <v>95</v>
      </c>
      <c r="AL16" s="70" t="str">
        <f t="shared" si="14"/>
        <v>射程距離</v>
      </c>
      <c r="AM16" s="70" t="str">
        <f t="array" ref="AM16">IFERROR(TRIM(_xlfn.REGEXEXTRACT(AK16,"(\d.+[%]?$|[0-9]|[A-Z]+$)")),"")</f>
        <v>750</v>
      </c>
      <c r="AN16" s="71" t="str">
        <f>IFERROR(VLOOKUP(AL16,'사용자가 입력할 시트'!$AF$2:$AG$60,2,FALSE),AL16)</f>
        <v>사정거리</v>
      </c>
      <c r="AO16" s="72" t="str">
        <f t="array" ref="AO16">IFERROR(TRIM(_xlfn.REGEXEXTRACT(AM16,"(\d+[%]?$|[A-Z]+$)")),"")</f>
        <v>750</v>
      </c>
      <c r="AP16" s="67" t="s">
        <v>95</v>
      </c>
      <c r="AQ16" s="70" t="str">
        <f t="shared" si="15"/>
        <v>射程距離</v>
      </c>
      <c r="AR16" s="70" t="str">
        <f t="array" ref="AR16">IFERROR(TRIM(_xlfn.REGEXEXTRACT(AP16,"(\d.+[%]?$|[0-9]|[A-Z]+$)")),"")</f>
        <v>750</v>
      </c>
      <c r="AS16" s="71" t="str">
        <f>IFERROR(VLOOKUP(AQ16,'사용자가 입력할 시트'!$AF$2:$AG$60,2,FALSE),AQ16)</f>
        <v>사정거리</v>
      </c>
      <c r="AT16" s="72" t="str">
        <f t="array" ref="AT16">IFERROR(TRIM(_xlfn.REGEXEXTRACT(AR16,"(\d+[%]?$|[A-Z]+$)")),"")</f>
        <v>750</v>
      </c>
      <c r="AU16" s="67" t="s">
        <v>95</v>
      </c>
      <c r="AV16" s="70" t="str">
        <f t="shared" si="16"/>
        <v>射程距離</v>
      </c>
      <c r="AW16" s="70" t="str">
        <f t="array" ref="AW16">IFERROR(TRIM(_xlfn.REGEXEXTRACT(AU16,"(\d.+[%]?$|[0-9]|[A-Z]+$)")),"")</f>
        <v>750</v>
      </c>
      <c r="AX16" s="71" t="str">
        <f>IFERROR(VLOOKUP(AV16,'사용자가 입력할 시트'!$AF$2:$AG$60,2,FALSE),AV16)</f>
        <v>사정거리</v>
      </c>
      <c r="AY16" s="72" t="str">
        <f t="array" ref="AY16">IFERROR(TRIM(_xlfn.REGEXEXTRACT(AW16,"(\d+[%]?$|[A-Z]+$)")),"")</f>
        <v>750</v>
      </c>
      <c r="AZ16" s="67" t="s">
        <v>95</v>
      </c>
      <c r="BA16" s="70" t="str">
        <f t="shared" si="17"/>
        <v>射程距離</v>
      </c>
      <c r="BB16" s="70" t="str">
        <f t="array" ref="BB16">IFERROR(TRIM(_xlfn.REGEXEXTRACT(AZ16,"(\d.+[%]?$|[0-9]|[A-Z]+$)")),"")</f>
        <v>750</v>
      </c>
      <c r="BC16" s="71" t="str">
        <f>IFERROR(VLOOKUP(BA16,'사용자가 입력할 시트'!$AF$2:$AG$60,2,FALSE),BA16)</f>
        <v>사정거리</v>
      </c>
      <c r="BD16" s="72" t="str">
        <f t="array" ref="BD16">IFERROR(TRIM(_xlfn.REGEXEXTRACT(BB16,"(\d+[%]?$|[A-Z]+$)")),"")</f>
        <v>750</v>
      </c>
      <c r="BE16" s="67" t="s">
        <v>95</v>
      </c>
      <c r="BF16" s="70" t="str">
        <f t="shared" si="18"/>
        <v>射程距離</v>
      </c>
      <c r="BG16" s="70" t="str">
        <f t="array" ref="BG16">IFERROR(TRIM(_xlfn.REGEXEXTRACT(BE16,"(\d.+[%]?$|[0-9]|[A-Z]+$)")),"")</f>
        <v>750</v>
      </c>
      <c r="BH16" s="71" t="str">
        <f>IFERROR(VLOOKUP(BF16,'사용자가 입력할 시트'!$AF$2:$AG$60,2,FALSE),BF16)</f>
        <v>사정거리</v>
      </c>
      <c r="BI16" s="72" t="str">
        <f t="array" ref="BI16">IFERROR(TRIM(_xlfn.REGEXEXTRACT(BG16,"(\d+[%]?$|[A-Z]+$)")),"")</f>
        <v>750</v>
      </c>
      <c r="BJ16" s="67" t="s">
        <v>95</v>
      </c>
      <c r="BK16" s="70" t="str">
        <f t="shared" si="19"/>
        <v>射程距離</v>
      </c>
      <c r="BL16" s="70" t="str">
        <f t="array" ref="BL16">IFERROR(TRIM(_xlfn.REGEXEXTRACT(BJ16,"(\d.+[%]?$|[0-9]|[A-Z]+$)")),"")</f>
        <v>750</v>
      </c>
      <c r="BM16" s="71" t="str">
        <f>IFERROR(VLOOKUP(BK16,'사용자가 입력할 시트'!$AF$2:$AG$60,2,FALSE),BK16)</f>
        <v>사정거리</v>
      </c>
      <c r="BN16" s="72" t="str">
        <f t="array" ref="BN16">IFERROR(TRIM(_xlfn.REGEXEXTRACT(BL16,"(\d+[%]?$|[A-Z]+$)")),"")</f>
        <v>750</v>
      </c>
      <c r="BO16" s="67" t="s">
        <v>95</v>
      </c>
      <c r="BP16" s="70" t="str">
        <f t="shared" si="20"/>
        <v>射程距離</v>
      </c>
      <c r="BQ16" s="70" t="str">
        <f t="array" ref="BQ16">IFERROR(TRIM(_xlfn.REGEXEXTRACT(BO16,"(\d.+[%]?$|[0-9]|[A-Z]+$)")),"")</f>
        <v>750</v>
      </c>
      <c r="BR16" s="71" t="str">
        <f>IFERROR(VLOOKUP(BP16,'사용자가 입력할 시트'!$AF$2:$AG$60,2,FALSE),BP16)</f>
        <v>사정거리</v>
      </c>
      <c r="BS16" s="72" t="str">
        <f t="array" ref="BS16">IFERROR(TRIM(_xlfn.REGEXEXTRACT(BQ16,"(\d+[%]?$|[A-Z]+$)")),"")</f>
        <v>750</v>
      </c>
      <c r="BT16" s="67" t="s">
        <v>95</v>
      </c>
      <c r="BU16" s="70" t="str">
        <f t="shared" si="21"/>
        <v>射程距離</v>
      </c>
      <c r="BV16" s="70" t="str">
        <f t="array" ref="BV16">IFERROR(TRIM(_xlfn.REGEXEXTRACT(BT16,"(\d.+[%]?$|[0-9]|[A-Z]+$)")),"")</f>
        <v>750</v>
      </c>
      <c r="BW16" s="71" t="str">
        <f>IFERROR(VLOOKUP(BU16,'사용자가 입력할 시트'!$AF$2:$AG$60,2,FALSE),BU16)</f>
        <v>사정거리</v>
      </c>
      <c r="BX16" s="72" t="str">
        <f t="array" ref="BX16">IFERROR(TRIM(_xlfn.REGEXEXTRACT(BV16,"(\d+[%]?$|[A-Z]+$)")),"")</f>
        <v>750</v>
      </c>
      <c r="BY16" s="67" t="s">
        <v>95</v>
      </c>
      <c r="BZ16" s="70" t="str">
        <f t="shared" si="22"/>
        <v>射程距離</v>
      </c>
      <c r="CA16" s="70" t="str">
        <f t="array" ref="CA16">IFERROR(TRIM(_xlfn.REGEXEXTRACT(BY16,"(\d.+[%]?$|[0-9]|[A-Z]+$)")),"")</f>
        <v>750</v>
      </c>
      <c r="CB16" s="71" t="str">
        <f>IFERROR(VLOOKUP(BZ16,'사용자가 입력할 시트'!$AF$2:$AG$60,2,FALSE),BZ16)</f>
        <v>사정거리</v>
      </c>
      <c r="CC16" s="72" t="str">
        <f t="array" ref="CC16">IFERROR(TRIM(_xlfn.REGEXEXTRACT(CA16,"(\d+[%]?$|[A-Z]+$)")),"")</f>
        <v>750</v>
      </c>
    </row>
    <row r="17" spans="2:81" ht="16.5" customHeight="1">
      <c r="B17" s="60"/>
      <c r="C17" s="104"/>
      <c r="D17" s="29"/>
      <c r="E17" s="18"/>
      <c r="F17" s="18"/>
      <c r="G17" s="18"/>
      <c r="H17" s="18"/>
      <c r="I17" s="29"/>
      <c r="J17" s="29"/>
      <c r="K17" s="29"/>
      <c r="L17" s="29"/>
      <c r="M17" s="18"/>
      <c r="N17" s="18"/>
      <c r="O17" s="29"/>
      <c r="P17" s="30"/>
      <c r="Q17" s="62"/>
      <c r="W17" s="2" t="str">
        <f t="shared" ca="1" si="10"/>
        <v>S</v>
      </c>
      <c r="X17" s="2" t="str">
        <f t="shared" ca="1" si="11"/>
        <v>D</v>
      </c>
      <c r="Y17" s="2" t="str">
        <f t="shared" ca="1" si="12"/>
        <v>B</v>
      </c>
      <c r="Z17" s="42" t="str">
        <f t="shared" ref="Z17" ca="1" si="31">IF(W17="","",$W$4&amp;" :"&amp;W17&amp;IF(W17=W18,"","("&amp;W18&amp;")"))</f>
        <v>시가 :S(SS)</v>
      </c>
      <c r="AB17" s="74"/>
      <c r="AC17" s="42" t="s">
        <v>188</v>
      </c>
      <c r="AD17" s="4" t="str">
        <f>_xlfn.LET(_xlpm.titleCell, MATCH($AC$17, AN:AN, 0),_xlpm.nextTitleCell, IFERROR(_xlfn.AGGREGATE(15, 6, ROW($AN$2:$AN$100)/(LEFT($AN$2:$AN$100,1)="≪")/(ROW($AN$2:$AN$100)&gt;_xlpm.titleCell), 1), ROWS(AN:AN)+1),_xlpm.startRow, _xlpm.titleCell + 1,_xlpm.endRow, _xlpm.nextTitleCell - 1,_xlpm.colStart, COLUMN($AN$2),_xlpm.colEnd, _xlpm.colStart + 1,ADDRESS(_xlpm.startRow, _xlpm.colStart) &amp; ":" &amp; ADDRESS(_xlpm.endRow, _xlpm.colEnd))</f>
        <v>$AN$61:$AO$63</v>
      </c>
      <c r="AF17" s="67" t="s">
        <v>119</v>
      </c>
      <c r="AG17" s="70" t="str">
        <f t="shared" si="13"/>
        <v>CC強化力</v>
      </c>
      <c r="AH17" s="70" t="str">
        <f t="array" ref="AH17">IFERROR(TRIM(_xlfn.REGEXEXTRACT(AF17,"(\d.+[%]?$|[0-9]|[A-Z]+$)")),"")</f>
        <v>100</v>
      </c>
      <c r="AI17" s="71" t="str">
        <f>IFERROR(VLOOKUP(AG17,'사용자가 입력할 시트'!$AF$2:$AG$60,2,FALSE),AG17)</f>
        <v>CC강화력</v>
      </c>
      <c r="AJ17" s="72" t="str">
        <f t="array" ref="AJ17">IFERROR(TRIM(_xlfn.REGEXEXTRACT(AH17,"(\d+[%]?$|[A-Z]+$)")),"")</f>
        <v>100</v>
      </c>
      <c r="AK17" s="67" t="s">
        <v>119</v>
      </c>
      <c r="AL17" s="70" t="str">
        <f t="shared" si="14"/>
        <v>CC強化力</v>
      </c>
      <c r="AM17" s="70" t="str">
        <f t="array" ref="AM17">IFERROR(TRIM(_xlfn.REGEXEXTRACT(AK17,"(\d.+[%]?$|[0-9]|[A-Z]+$)")),"")</f>
        <v>100</v>
      </c>
      <c r="AN17" s="71" t="str">
        <f>IFERROR(VLOOKUP(AL17,'사용자가 입력할 시트'!$AF$2:$AG$60,2,FALSE),AL17)</f>
        <v>CC강화력</v>
      </c>
      <c r="AO17" s="72" t="str">
        <f t="array" ref="AO17">IFERROR(TRIM(_xlfn.REGEXEXTRACT(AM17,"(\d+[%]?$|[A-Z]+$)")),"")</f>
        <v>100</v>
      </c>
      <c r="AP17" s="67" t="s">
        <v>119</v>
      </c>
      <c r="AQ17" s="70" t="str">
        <f t="shared" si="15"/>
        <v>CC強化力</v>
      </c>
      <c r="AR17" s="70" t="str">
        <f t="array" ref="AR17">IFERROR(TRIM(_xlfn.REGEXEXTRACT(AP17,"(\d.+[%]?$|[0-9]|[A-Z]+$)")),"")</f>
        <v>100</v>
      </c>
      <c r="AS17" s="71" t="str">
        <f>IFERROR(VLOOKUP(AQ17,'사용자가 입력할 시트'!$AF$2:$AG$60,2,FALSE),AQ17)</f>
        <v>CC강화력</v>
      </c>
      <c r="AT17" s="72" t="str">
        <f t="array" ref="AT17">IFERROR(TRIM(_xlfn.REGEXEXTRACT(AR17,"(\d+[%]?$|[A-Z]+$)")),"")</f>
        <v>100</v>
      </c>
      <c r="AU17" s="67" t="s">
        <v>119</v>
      </c>
      <c r="AV17" s="70" t="str">
        <f t="shared" si="16"/>
        <v>CC強化力</v>
      </c>
      <c r="AW17" s="70" t="str">
        <f t="array" ref="AW17">IFERROR(TRIM(_xlfn.REGEXEXTRACT(AU17,"(\d.+[%]?$|[0-9]|[A-Z]+$)")),"")</f>
        <v>100</v>
      </c>
      <c r="AX17" s="71" t="str">
        <f>IFERROR(VLOOKUP(AV17,'사용자가 입력할 시트'!$AF$2:$AG$60,2,FALSE),AV17)</f>
        <v>CC강화력</v>
      </c>
      <c r="AY17" s="72" t="str">
        <f t="array" ref="AY17">IFERROR(TRIM(_xlfn.REGEXEXTRACT(AW17,"(\d+[%]?$|[A-Z]+$)")),"")</f>
        <v>100</v>
      </c>
      <c r="AZ17" s="67" t="s">
        <v>119</v>
      </c>
      <c r="BA17" s="70" t="str">
        <f t="shared" si="17"/>
        <v>CC強化力</v>
      </c>
      <c r="BB17" s="70" t="str">
        <f t="array" ref="BB17">IFERROR(TRIM(_xlfn.REGEXEXTRACT(AZ17,"(\d.+[%]?$|[0-9]|[A-Z]+$)")),"")</f>
        <v>100</v>
      </c>
      <c r="BC17" s="71" t="str">
        <f>IFERROR(VLOOKUP(BA17,'사용자가 입력할 시트'!$AF$2:$AG$60,2,FALSE),BA17)</f>
        <v>CC강화력</v>
      </c>
      <c r="BD17" s="72" t="str">
        <f t="array" ref="BD17">IFERROR(TRIM(_xlfn.REGEXEXTRACT(BB17,"(\d+[%]?$|[A-Z]+$)")),"")</f>
        <v>100</v>
      </c>
      <c r="BE17" s="67" t="s">
        <v>119</v>
      </c>
      <c r="BF17" s="70" t="str">
        <f t="shared" si="18"/>
        <v>CC強化力</v>
      </c>
      <c r="BG17" s="70" t="str">
        <f t="array" ref="BG17">IFERROR(TRIM(_xlfn.REGEXEXTRACT(BE17,"(\d.+[%]?$|[0-9]|[A-Z]+$)")),"")</f>
        <v>100</v>
      </c>
      <c r="BH17" s="71" t="str">
        <f>IFERROR(VLOOKUP(BF17,'사용자가 입력할 시트'!$AF$2:$AG$60,2,FALSE),BF17)</f>
        <v>CC강화력</v>
      </c>
      <c r="BI17" s="72" t="str">
        <f t="array" ref="BI17">IFERROR(TRIM(_xlfn.REGEXEXTRACT(BG17,"(\d+[%]?$|[A-Z]+$)")),"")</f>
        <v>100</v>
      </c>
      <c r="BJ17" s="67" t="s">
        <v>119</v>
      </c>
      <c r="BK17" s="70" t="str">
        <f t="shared" si="19"/>
        <v>CC強化力</v>
      </c>
      <c r="BL17" s="70" t="str">
        <f t="array" ref="BL17">IFERROR(TRIM(_xlfn.REGEXEXTRACT(BJ17,"(\d.+[%]?$|[0-9]|[A-Z]+$)")),"")</f>
        <v>100</v>
      </c>
      <c r="BM17" s="71" t="str">
        <f>IFERROR(VLOOKUP(BK17,'사용자가 입력할 시트'!$AF$2:$AG$60,2,FALSE),BK17)</f>
        <v>CC강화력</v>
      </c>
      <c r="BN17" s="72" t="str">
        <f t="array" ref="BN17">IFERROR(TRIM(_xlfn.REGEXEXTRACT(BL17,"(\d+[%]?$|[A-Z]+$)")),"")</f>
        <v>100</v>
      </c>
      <c r="BO17" s="67" t="s">
        <v>119</v>
      </c>
      <c r="BP17" s="70" t="str">
        <f t="shared" si="20"/>
        <v>CC強化力</v>
      </c>
      <c r="BQ17" s="70" t="str">
        <f t="array" ref="BQ17">IFERROR(TRIM(_xlfn.REGEXEXTRACT(BO17,"(\d.+[%]?$|[0-9]|[A-Z]+$)")),"")</f>
        <v>100</v>
      </c>
      <c r="BR17" s="71" t="str">
        <f>IFERROR(VLOOKUP(BP17,'사용자가 입력할 시트'!$AF$2:$AG$60,2,FALSE),BP17)</f>
        <v>CC강화력</v>
      </c>
      <c r="BS17" s="72" t="str">
        <f t="array" ref="BS17">IFERROR(TRIM(_xlfn.REGEXEXTRACT(BQ17,"(\d+[%]?$|[A-Z]+$)")),"")</f>
        <v>100</v>
      </c>
      <c r="BT17" s="67" t="s">
        <v>119</v>
      </c>
      <c r="BU17" s="70" t="str">
        <f t="shared" si="21"/>
        <v>CC強化力</v>
      </c>
      <c r="BV17" s="70" t="str">
        <f t="array" ref="BV17">IFERROR(TRIM(_xlfn.REGEXEXTRACT(BT17,"(\d.+[%]?$|[0-9]|[A-Z]+$)")),"")</f>
        <v>100</v>
      </c>
      <c r="BW17" s="71" t="str">
        <f>IFERROR(VLOOKUP(BU17,'사용자가 입력할 시트'!$AF$2:$AG$60,2,FALSE),BU17)</f>
        <v>CC강화력</v>
      </c>
      <c r="BX17" s="72" t="str">
        <f t="array" ref="BX17">IFERROR(TRIM(_xlfn.REGEXEXTRACT(BV17,"(\d+[%]?$|[A-Z]+$)")),"")</f>
        <v>100</v>
      </c>
      <c r="BY17" s="67" t="s">
        <v>119</v>
      </c>
      <c r="BZ17" s="70" t="str">
        <f t="shared" si="22"/>
        <v>CC強化力</v>
      </c>
      <c r="CA17" s="70" t="str">
        <f t="array" ref="CA17">IFERROR(TRIM(_xlfn.REGEXEXTRACT(BY17,"(\d.+[%]?$|[0-9]|[A-Z]+$)")),"")</f>
        <v>100</v>
      </c>
      <c r="CB17" s="71" t="str">
        <f>IFERROR(VLOOKUP(BZ17,'사용자가 입력할 시트'!$AF$2:$AG$60,2,FALSE),BZ17)</f>
        <v>CC강화력</v>
      </c>
      <c r="CC17" s="72" t="str">
        <f t="array" ref="CC17">IFERROR(TRIM(_xlfn.REGEXEXTRACT(CA17,"(\d+[%]?$|[A-Z]+$)")),"")</f>
        <v>100</v>
      </c>
    </row>
    <row r="18" spans="2:81">
      <c r="B18" s="63"/>
      <c r="C18" s="105"/>
      <c r="D18" s="35"/>
      <c r="E18" s="36"/>
      <c r="F18" s="36"/>
      <c r="G18" s="36"/>
      <c r="H18" s="35"/>
      <c r="I18" s="36"/>
      <c r="J18" s="36"/>
      <c r="K18" s="36"/>
      <c r="L18" s="36"/>
      <c r="M18" s="36"/>
      <c r="N18" s="36"/>
      <c r="O18" s="36"/>
      <c r="P18" s="37"/>
      <c r="Q18" s="64"/>
      <c r="W18" s="2" t="str">
        <f t="shared" ca="1" si="10"/>
        <v>SS</v>
      </c>
      <c r="X18" s="2" t="str">
        <f t="shared" ca="1" si="11"/>
        <v>D</v>
      </c>
      <c r="Y18" s="2" t="str">
        <f t="shared" ca="1" si="12"/>
        <v>B</v>
      </c>
      <c r="Z18" s="42" t="str">
        <f t="shared" ref="Z18" ca="1" si="32">IF(X17="","",$X$4&amp;" :"&amp;X17&amp;IF(X17=X18,"","("&amp;X18&amp;")"))</f>
        <v>실내 :D</v>
      </c>
      <c r="AB18" s="74" t="s">
        <v>190</v>
      </c>
      <c r="AC18" s="42" t="s">
        <v>183</v>
      </c>
      <c r="AD18" s="4" t="str">
        <f>_xlfn.LET(_xlpm.titleCell, MATCH($AC$18, AS:AS, 0),_xlpm.nextTitleCell, IFERROR(_xlfn.AGGREGATE(15, 6, ROW($AS$2:$AS$100)/(LEFT($AS$2:$AS$100,1)="≪")/(ROW($AS$2:$AS$100)&gt;_xlpm.titleCell), 1), ROWS(AS:AS)+1),_xlpm.startRow, _xlpm.titleCell + 1,_xlpm.endRow, _xlpm.nextTitleCell - 1,_xlpm.colStart, COLUMN($AS$2),_xlpm.colEnd, _xlpm.colStart + 1,ADDRESS(_xlpm.startRow, _xlpm.colStart) &amp; ":" &amp; ADDRESS(_xlpm.endRow, _xlpm.colEnd))</f>
        <v>$AS$6:$AT$25</v>
      </c>
      <c r="AF18" s="67" t="s">
        <v>120</v>
      </c>
      <c r="AG18" s="70" t="str">
        <f t="shared" si="13"/>
        <v>振動特効</v>
      </c>
      <c r="AH18" s="70" t="str">
        <f t="array" ref="AH18">IFERROR(TRIM(_xlfn.REGEXEXTRACT(AF18,"(\d.+[%]?$|[0-9]|[A-Z]+$)")),"")</f>
        <v>200%</v>
      </c>
      <c r="AI18" s="71" t="str">
        <f>IFERROR(VLOOKUP(AG18,'사용자가 입력할 시트'!$AF$2:$AG$60,2,FALSE),AG18)</f>
        <v>진동특효</v>
      </c>
      <c r="AJ18" s="72" t="str">
        <f t="array" ref="AJ18">IFERROR(TRIM(_xlfn.REGEXEXTRACT(AH18,"(\d+[%]?$|[A-Z]+$)")),"")</f>
        <v>200%</v>
      </c>
      <c r="AK18" s="67" t="s">
        <v>120</v>
      </c>
      <c r="AL18" s="70" t="str">
        <f t="shared" si="14"/>
        <v>振動特効</v>
      </c>
      <c r="AM18" s="70" t="str">
        <f t="array" ref="AM18">IFERROR(TRIM(_xlfn.REGEXEXTRACT(AK18,"(\d.+[%]?$|[0-9]|[A-Z]+$)")),"")</f>
        <v>200%</v>
      </c>
      <c r="AN18" s="71" t="str">
        <f>IFERROR(VLOOKUP(AL18,'사용자가 입력할 시트'!$AF$2:$AG$60,2,FALSE),AL18)</f>
        <v>진동특효</v>
      </c>
      <c r="AO18" s="72" t="str">
        <f t="array" ref="AO18">IFERROR(TRIM(_xlfn.REGEXEXTRACT(AM18,"(\d+[%]?$|[A-Z]+$)")),"")</f>
        <v>200%</v>
      </c>
      <c r="AP18" s="67" t="s">
        <v>120</v>
      </c>
      <c r="AQ18" s="70" t="str">
        <f t="shared" si="15"/>
        <v>振動特効</v>
      </c>
      <c r="AR18" s="70" t="str">
        <f t="array" ref="AR18">IFERROR(TRIM(_xlfn.REGEXEXTRACT(AP18,"(\d.+[%]?$|[0-9]|[A-Z]+$)")),"")</f>
        <v>200%</v>
      </c>
      <c r="AS18" s="71" t="str">
        <f>IFERROR(VLOOKUP(AQ18,'사용자가 입력할 시트'!$AF$2:$AG$60,2,FALSE),AQ18)</f>
        <v>진동특효</v>
      </c>
      <c r="AT18" s="72" t="str">
        <f t="array" ref="AT18">IFERROR(TRIM(_xlfn.REGEXEXTRACT(AR18,"(\d+[%]?$|[A-Z]+$)")),"")</f>
        <v>200%</v>
      </c>
      <c r="AU18" s="67" t="s">
        <v>120</v>
      </c>
      <c r="AV18" s="70" t="str">
        <f t="shared" si="16"/>
        <v>振動特効</v>
      </c>
      <c r="AW18" s="70" t="str">
        <f t="array" ref="AW18">IFERROR(TRIM(_xlfn.REGEXEXTRACT(AU18,"(\d.+[%]?$|[0-9]|[A-Z]+$)")),"")</f>
        <v>200%</v>
      </c>
      <c r="AX18" s="71" t="str">
        <f>IFERROR(VLOOKUP(AV18,'사용자가 입력할 시트'!$AF$2:$AG$60,2,FALSE),AV18)</f>
        <v>진동특효</v>
      </c>
      <c r="AY18" s="72" t="str">
        <f t="array" ref="AY18">IFERROR(TRIM(_xlfn.REGEXEXTRACT(AW18,"(\d+[%]?$|[A-Z]+$)")),"")</f>
        <v>200%</v>
      </c>
      <c r="AZ18" s="67" t="s">
        <v>120</v>
      </c>
      <c r="BA18" s="70" t="str">
        <f t="shared" si="17"/>
        <v>振動特効</v>
      </c>
      <c r="BB18" s="70" t="str">
        <f t="array" ref="BB18">IFERROR(TRIM(_xlfn.REGEXEXTRACT(AZ18,"(\d.+[%]?$|[0-9]|[A-Z]+$)")),"")</f>
        <v>200%</v>
      </c>
      <c r="BC18" s="71" t="str">
        <f>IFERROR(VLOOKUP(BA18,'사용자가 입력할 시트'!$AF$2:$AG$60,2,FALSE),BA18)</f>
        <v>진동특효</v>
      </c>
      <c r="BD18" s="72" t="str">
        <f t="array" ref="BD18">IFERROR(TRIM(_xlfn.REGEXEXTRACT(BB18,"(\d+[%]?$|[A-Z]+$)")),"")</f>
        <v>200%</v>
      </c>
      <c r="BE18" s="67" t="s">
        <v>120</v>
      </c>
      <c r="BF18" s="70" t="str">
        <f t="shared" si="18"/>
        <v>振動特効</v>
      </c>
      <c r="BG18" s="70" t="str">
        <f t="array" ref="BG18">IFERROR(TRIM(_xlfn.REGEXEXTRACT(BE18,"(\d.+[%]?$|[0-9]|[A-Z]+$)")),"")</f>
        <v>200%</v>
      </c>
      <c r="BH18" s="71" t="str">
        <f>IFERROR(VLOOKUP(BF18,'사용자가 입력할 시트'!$AF$2:$AG$60,2,FALSE),BF18)</f>
        <v>진동특효</v>
      </c>
      <c r="BI18" s="72" t="str">
        <f t="array" ref="BI18">IFERROR(TRIM(_xlfn.REGEXEXTRACT(BG18,"(\d+[%]?$|[A-Z]+$)")),"")</f>
        <v>200%</v>
      </c>
      <c r="BJ18" s="67" t="s">
        <v>120</v>
      </c>
      <c r="BK18" s="70" t="str">
        <f t="shared" si="19"/>
        <v>振動特効</v>
      </c>
      <c r="BL18" s="70" t="str">
        <f t="array" ref="BL18">IFERROR(TRIM(_xlfn.REGEXEXTRACT(BJ18,"(\d.+[%]?$|[0-9]|[A-Z]+$)")),"")</f>
        <v>200%</v>
      </c>
      <c r="BM18" s="71" t="str">
        <f>IFERROR(VLOOKUP(BK18,'사용자가 입력할 시트'!$AF$2:$AG$60,2,FALSE),BK18)</f>
        <v>진동특효</v>
      </c>
      <c r="BN18" s="72" t="str">
        <f t="array" ref="BN18">IFERROR(TRIM(_xlfn.REGEXEXTRACT(BL18,"(\d+[%]?$|[A-Z]+$)")),"")</f>
        <v>200%</v>
      </c>
      <c r="BO18" s="67" t="s">
        <v>120</v>
      </c>
      <c r="BP18" s="70" t="str">
        <f t="shared" si="20"/>
        <v>振動特効</v>
      </c>
      <c r="BQ18" s="70" t="str">
        <f t="array" ref="BQ18">IFERROR(TRIM(_xlfn.REGEXEXTRACT(BO18,"(\d.+[%]?$|[0-9]|[A-Z]+$)")),"")</f>
        <v>200%</v>
      </c>
      <c r="BR18" s="71" t="str">
        <f>IFERROR(VLOOKUP(BP18,'사용자가 입력할 시트'!$AF$2:$AG$60,2,FALSE),BP18)</f>
        <v>진동특효</v>
      </c>
      <c r="BS18" s="72" t="str">
        <f t="array" ref="BS18">IFERROR(TRIM(_xlfn.REGEXEXTRACT(BQ18,"(\d+[%]?$|[A-Z]+$)")),"")</f>
        <v>200%</v>
      </c>
      <c r="BT18" s="67" t="s">
        <v>120</v>
      </c>
      <c r="BU18" s="70" t="str">
        <f t="shared" si="21"/>
        <v>振動特効</v>
      </c>
      <c r="BV18" s="70" t="str">
        <f t="array" ref="BV18">IFERROR(TRIM(_xlfn.REGEXEXTRACT(BT18,"(\d.+[%]?$|[0-9]|[A-Z]+$)")),"")</f>
        <v>200%</v>
      </c>
      <c r="BW18" s="71" t="str">
        <f>IFERROR(VLOOKUP(BU18,'사용자가 입력할 시트'!$AF$2:$AG$60,2,FALSE),BU18)</f>
        <v>진동특효</v>
      </c>
      <c r="BX18" s="72" t="str">
        <f t="array" ref="BX18">IFERROR(TRIM(_xlfn.REGEXEXTRACT(BV18,"(\d+[%]?$|[A-Z]+$)")),"")</f>
        <v>200%</v>
      </c>
      <c r="BY18" s="67" t="s">
        <v>120</v>
      </c>
      <c r="BZ18" s="70" t="str">
        <f t="shared" si="22"/>
        <v>振動特効</v>
      </c>
      <c r="CA18" s="70" t="str">
        <f t="array" ref="CA18">IFERROR(TRIM(_xlfn.REGEXEXTRACT(BY18,"(\d.+[%]?$|[0-9]|[A-Z]+$)")),"")</f>
        <v>200%</v>
      </c>
      <c r="CB18" s="71" t="str">
        <f>IFERROR(VLOOKUP(BZ18,'사용자가 입력할 시트'!$AF$2:$AG$60,2,FALSE),BZ18)</f>
        <v>진동특효</v>
      </c>
      <c r="CC18" s="72" t="str">
        <f t="array" ref="CC18">IFERROR(TRIM(_xlfn.REGEXEXTRACT(CA18,"(\d+[%]?$|[A-Z]+$)")),"")</f>
        <v>200%</v>
      </c>
    </row>
    <row r="19" spans="2:81">
      <c r="B19" s="116"/>
      <c r="C19" s="100"/>
      <c r="D19" s="13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4"/>
      <c r="Q19" s="15"/>
      <c r="W19" s="2" t="str">
        <f t="shared" ca="1" si="10"/>
        <v/>
      </c>
      <c r="X19" s="2" t="str">
        <f t="shared" ca="1" si="11"/>
        <v/>
      </c>
      <c r="Y19" s="2" t="str">
        <f t="shared" ca="1" si="12"/>
        <v/>
      </c>
      <c r="Z19" s="42" t="str">
        <f t="shared" ref="Z19" ca="1" si="33">IF(Y17="","",$Y$4&amp;" :"&amp;Y17&amp;IF(Y17=Y18,"","("&amp;Y18&amp;")"))</f>
        <v>야외 :B</v>
      </c>
      <c r="AB19" s="74"/>
      <c r="AC19" s="42" t="s">
        <v>184</v>
      </c>
      <c r="AD19" s="4" t="str">
        <f>_xlfn.LET(_xlpm.titleCell, MATCH($AC$19, AS:AS, 0),_xlpm.nextTitleCell, IFERROR(_xlfn.AGGREGATE(15, 6, ROW($AS$2:$AS$100)/(LEFT($AS$2:$AS$100,1)="≪")/(ROW($AS$2:$AS$100)&gt;_xlpm.titleCell), 1), ROWS(AS:AS)+1),_xlpm.startRow, _xlpm.titleCell + 1,_xlpm.endRow, _xlpm.nextTitleCell - 1,_xlpm.colStart, COLUMN($AS$2),_xlpm.colEnd, _xlpm.colStart + 1,ADDRESS(_xlpm.startRow, _xlpm.colStart) &amp; ":" &amp; ADDRESS(_xlpm.endRow, _xlpm.colEnd))</f>
        <v>$AS$27:$AT$46</v>
      </c>
      <c r="AF19" s="67" t="s">
        <v>121</v>
      </c>
      <c r="AG19" s="70" t="str">
        <f t="shared" si="13"/>
        <v>市街地戦闘力</v>
      </c>
      <c r="AH19" s="70" t="str">
        <f t="array" ref="AH19">IFERROR(TRIM(_xlfn.REGEXEXTRACT(AF19,"(\d.+[%]?$|[0-9]|[A-Z]+$)")),"")</f>
        <v>S</v>
      </c>
      <c r="AI19" s="71" t="str">
        <f>IFERROR(VLOOKUP(AG19,'사용자가 입력할 시트'!$AF$2:$AG$60,2,FALSE),AG19)</f>
        <v>시가</v>
      </c>
      <c r="AJ19" s="72" t="str">
        <f t="array" ref="AJ19">IFERROR(TRIM(_xlfn.REGEXEXTRACT(AH19,"(\d+[%]?$|[A-Z]+$)")),"")</f>
        <v>S</v>
      </c>
      <c r="AK19" s="67" t="s">
        <v>121</v>
      </c>
      <c r="AL19" s="70" t="str">
        <f t="shared" si="14"/>
        <v>市街地戦闘力</v>
      </c>
      <c r="AM19" s="70" t="str">
        <f t="array" ref="AM19">IFERROR(TRIM(_xlfn.REGEXEXTRACT(AK19,"(\d.+[%]?$|[0-9]|[A-Z]+$)")),"")</f>
        <v>S</v>
      </c>
      <c r="AN19" s="71" t="str">
        <f>IFERROR(VLOOKUP(AL19,'사용자가 입력할 시트'!$AF$2:$AG$60,2,FALSE),AL19)</f>
        <v>시가</v>
      </c>
      <c r="AO19" s="72" t="str">
        <f t="array" ref="AO19">IFERROR(TRIM(_xlfn.REGEXEXTRACT(AM19,"(\d+[%]?$|[A-Z]+$)")),"")</f>
        <v>S</v>
      </c>
      <c r="AP19" s="67" t="s">
        <v>121</v>
      </c>
      <c r="AQ19" s="70" t="str">
        <f t="shared" si="15"/>
        <v>市街地戦闘力</v>
      </c>
      <c r="AR19" s="70" t="str">
        <f t="array" ref="AR19">IFERROR(TRIM(_xlfn.REGEXEXTRACT(AP19,"(\d.+[%]?$|[0-9]|[A-Z]+$)")),"")</f>
        <v>S</v>
      </c>
      <c r="AS19" s="71" t="str">
        <f>IFERROR(VLOOKUP(AQ19,'사용자가 입력할 시트'!$AF$2:$AG$60,2,FALSE),AQ19)</f>
        <v>시가</v>
      </c>
      <c r="AT19" s="72" t="str">
        <f t="array" ref="AT19">IFERROR(TRIM(_xlfn.REGEXEXTRACT(AR19,"(\d+[%]?$|[A-Z]+$)")),"")</f>
        <v>S</v>
      </c>
      <c r="AU19" s="67" t="s">
        <v>121</v>
      </c>
      <c r="AV19" s="70" t="str">
        <f t="shared" si="16"/>
        <v>市街地戦闘力</v>
      </c>
      <c r="AW19" s="70" t="str">
        <f t="array" ref="AW19">IFERROR(TRIM(_xlfn.REGEXEXTRACT(AU19,"(\d.+[%]?$|[0-9]|[A-Z]+$)")),"")</f>
        <v>S</v>
      </c>
      <c r="AX19" s="71" t="str">
        <f>IFERROR(VLOOKUP(AV19,'사용자가 입력할 시트'!$AF$2:$AG$60,2,FALSE),AV19)</f>
        <v>시가</v>
      </c>
      <c r="AY19" s="72" t="str">
        <f t="array" ref="AY19">IFERROR(TRIM(_xlfn.REGEXEXTRACT(AW19,"(\d+[%]?$|[A-Z]+$)")),"")</f>
        <v>S</v>
      </c>
      <c r="AZ19" s="67" t="s">
        <v>121</v>
      </c>
      <c r="BA19" s="70" t="str">
        <f t="shared" si="17"/>
        <v>市街地戦闘力</v>
      </c>
      <c r="BB19" s="70" t="str">
        <f t="array" ref="BB19">IFERROR(TRIM(_xlfn.REGEXEXTRACT(AZ19,"(\d.+[%]?$|[0-9]|[A-Z]+$)")),"")</f>
        <v>S</v>
      </c>
      <c r="BC19" s="71" t="str">
        <f>IFERROR(VLOOKUP(BA19,'사용자가 입력할 시트'!$AF$2:$AG$60,2,FALSE),BA19)</f>
        <v>시가</v>
      </c>
      <c r="BD19" s="72" t="str">
        <f t="array" ref="BD19">IFERROR(TRIM(_xlfn.REGEXEXTRACT(BB19,"(\d+[%]?$|[A-Z]+$)")),"")</f>
        <v>S</v>
      </c>
      <c r="BE19" s="67" t="s">
        <v>121</v>
      </c>
      <c r="BF19" s="70" t="str">
        <f t="shared" si="18"/>
        <v>市街地戦闘力</v>
      </c>
      <c r="BG19" s="70" t="str">
        <f t="array" ref="BG19">IFERROR(TRIM(_xlfn.REGEXEXTRACT(BE19,"(\d.+[%]?$|[0-9]|[A-Z]+$)")),"")</f>
        <v>S</v>
      </c>
      <c r="BH19" s="71" t="str">
        <f>IFERROR(VLOOKUP(BF19,'사용자가 입력할 시트'!$AF$2:$AG$60,2,FALSE),BF19)</f>
        <v>시가</v>
      </c>
      <c r="BI19" s="72" t="str">
        <f t="array" ref="BI19">IFERROR(TRIM(_xlfn.REGEXEXTRACT(BG19,"(\d+[%]?$|[A-Z]+$)")),"")</f>
        <v>S</v>
      </c>
      <c r="BJ19" s="67" t="s">
        <v>121</v>
      </c>
      <c r="BK19" s="70" t="str">
        <f t="shared" si="19"/>
        <v>市街地戦闘力</v>
      </c>
      <c r="BL19" s="70" t="str">
        <f t="array" ref="BL19">IFERROR(TRIM(_xlfn.REGEXEXTRACT(BJ19,"(\d.+[%]?$|[0-9]|[A-Z]+$)")),"")</f>
        <v>S</v>
      </c>
      <c r="BM19" s="71" t="str">
        <f>IFERROR(VLOOKUP(BK19,'사용자가 입력할 시트'!$AF$2:$AG$60,2,FALSE),BK19)</f>
        <v>시가</v>
      </c>
      <c r="BN19" s="72" t="str">
        <f t="array" ref="BN19">IFERROR(TRIM(_xlfn.REGEXEXTRACT(BL19,"(\d+[%]?$|[A-Z]+$)")),"")</f>
        <v>S</v>
      </c>
      <c r="BO19" s="67" t="s">
        <v>121</v>
      </c>
      <c r="BP19" s="70" t="str">
        <f t="shared" si="20"/>
        <v>市街地戦闘力</v>
      </c>
      <c r="BQ19" s="70" t="str">
        <f t="array" ref="BQ19">IFERROR(TRIM(_xlfn.REGEXEXTRACT(BO19,"(\d.+[%]?$|[0-9]|[A-Z]+$)")),"")</f>
        <v>S</v>
      </c>
      <c r="BR19" s="71" t="str">
        <f>IFERROR(VLOOKUP(BP19,'사용자가 입력할 시트'!$AF$2:$AG$60,2,FALSE),BP19)</f>
        <v>시가</v>
      </c>
      <c r="BS19" s="72" t="str">
        <f t="array" ref="BS19">IFERROR(TRIM(_xlfn.REGEXEXTRACT(BQ19,"(\d+[%]?$|[A-Z]+$)")),"")</f>
        <v>S</v>
      </c>
      <c r="BT19" s="67" t="s">
        <v>121</v>
      </c>
      <c r="BU19" s="70" t="str">
        <f t="shared" si="21"/>
        <v>市街地戦闘力</v>
      </c>
      <c r="BV19" s="70" t="str">
        <f t="array" ref="BV19">IFERROR(TRIM(_xlfn.REGEXEXTRACT(BT19,"(\d.+[%]?$|[0-9]|[A-Z]+$)")),"")</f>
        <v>S</v>
      </c>
      <c r="BW19" s="71" t="str">
        <f>IFERROR(VLOOKUP(BU19,'사용자가 입력할 시트'!$AF$2:$AG$60,2,FALSE),BU19)</f>
        <v>시가</v>
      </c>
      <c r="BX19" s="72" t="str">
        <f t="array" ref="BX19">IFERROR(TRIM(_xlfn.REGEXEXTRACT(BV19,"(\d+[%]?$|[A-Z]+$)")),"")</f>
        <v>S</v>
      </c>
      <c r="BY19" s="67" t="s">
        <v>121</v>
      </c>
      <c r="BZ19" s="70" t="str">
        <f t="shared" si="22"/>
        <v>市街地戦闘力</v>
      </c>
      <c r="CA19" s="70" t="str">
        <f t="array" ref="CA19">IFERROR(TRIM(_xlfn.REGEXEXTRACT(BY19,"(\d.+[%]?$|[0-9]|[A-Z]+$)")),"")</f>
        <v>S</v>
      </c>
      <c r="CB19" s="71" t="str">
        <f>IFERROR(VLOOKUP(BZ19,'사용자가 입력할 시트'!$AF$2:$AG$60,2,FALSE),BZ19)</f>
        <v>시가</v>
      </c>
      <c r="CC19" s="72" t="str">
        <f t="array" ref="CC19">IFERROR(TRIM(_xlfn.REGEXEXTRACT(CA19,"(\d+[%]?$|[A-Z]+$)")),"")</f>
        <v>S</v>
      </c>
    </row>
    <row r="20" spans="2:81">
      <c r="B20" s="112"/>
      <c r="C20" s="101"/>
      <c r="D20" s="16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9"/>
      <c r="Q20" s="58"/>
      <c r="W20" s="2" t="str">
        <f t="shared" ca="1" si="10"/>
        <v/>
      </c>
      <c r="X20" s="2" t="str">
        <f t="shared" ca="1" si="11"/>
        <v/>
      </c>
      <c r="Y20" s="2" t="str">
        <f t="shared" ca="1" si="12"/>
        <v/>
      </c>
      <c r="Z20" s="42" t="str">
        <f t="shared" ref="Z20" ca="1" si="34">IF(W20="","",$W$4&amp;" :"&amp;W20&amp;IF(W20=W21,"","("&amp;W21&amp;")"))</f>
        <v/>
      </c>
      <c r="AB20" s="74"/>
      <c r="AC20" s="42" t="s">
        <v>185</v>
      </c>
      <c r="AD20" s="4" t="str">
        <f>_xlfn.LET(_xlpm.titleCell, MATCH($AC$20, AS:AS, 0),_xlpm.nextTitleCell, IFERROR(_xlfn.AGGREGATE(15, 6, ROW($AS$2:$AS$100)/(LEFT($AS$2:$AS$100,1)="≪")/(ROW($AS$2:$AS$100)&gt;_xlpm.titleCell), 1), ROWS(AS:AS)+1),_xlpm.startRow, _xlpm.titleCell + 1,_xlpm.endRow, _xlpm.nextTitleCell - 1,_xlpm.colStart, COLUMN($AS$2),_xlpm.colEnd, _xlpm.colStart + 1,ADDRESS(_xlpm.startRow, _xlpm.colStart) &amp; ":" &amp; ADDRESS(_xlpm.endRow, _xlpm.colEnd))</f>
        <v>$AS$48:$AT$50</v>
      </c>
      <c r="AF20" s="67" t="s">
        <v>122</v>
      </c>
      <c r="AG20" s="70" t="str">
        <f t="shared" si="13"/>
        <v>屋内戦闘力</v>
      </c>
      <c r="AH20" s="70" t="str">
        <f t="array" ref="AH20">IFERROR(TRIM(_xlfn.REGEXEXTRACT(AF20,"(\d.+[%]?$|[0-9]|[A-Z]+$)")),"")</f>
        <v>D</v>
      </c>
      <c r="AI20" s="71" t="str">
        <f>IFERROR(VLOOKUP(AG20,'사용자가 입력할 시트'!$AF$2:$AG$60,2,FALSE),AG20)</f>
        <v>실내</v>
      </c>
      <c r="AJ20" s="72" t="str">
        <f t="array" ref="AJ20">IFERROR(TRIM(_xlfn.REGEXEXTRACT(AH20,"(\d+[%]?$|[A-Z]+$)")),"")</f>
        <v>D</v>
      </c>
      <c r="AK20" s="67" t="s">
        <v>122</v>
      </c>
      <c r="AL20" s="70" t="str">
        <f t="shared" si="14"/>
        <v>屋内戦闘力</v>
      </c>
      <c r="AM20" s="70" t="str">
        <f t="array" ref="AM20">IFERROR(TRIM(_xlfn.REGEXEXTRACT(AK20,"(\d.+[%]?$|[0-9]|[A-Z]+$)")),"")</f>
        <v>D</v>
      </c>
      <c r="AN20" s="71" t="str">
        <f>IFERROR(VLOOKUP(AL20,'사용자가 입력할 시트'!$AF$2:$AG$60,2,FALSE),AL20)</f>
        <v>실내</v>
      </c>
      <c r="AO20" s="72" t="str">
        <f t="array" ref="AO20">IFERROR(TRIM(_xlfn.REGEXEXTRACT(AM20,"(\d+[%]?$|[A-Z]+$)")),"")</f>
        <v>D</v>
      </c>
      <c r="AP20" s="67" t="s">
        <v>122</v>
      </c>
      <c r="AQ20" s="70" t="str">
        <f t="shared" si="15"/>
        <v>屋内戦闘力</v>
      </c>
      <c r="AR20" s="70" t="str">
        <f t="array" ref="AR20">IFERROR(TRIM(_xlfn.REGEXEXTRACT(AP20,"(\d.+[%]?$|[0-9]|[A-Z]+$)")),"")</f>
        <v>D</v>
      </c>
      <c r="AS20" s="71" t="str">
        <f>IFERROR(VLOOKUP(AQ20,'사용자가 입력할 시트'!$AF$2:$AG$60,2,FALSE),AQ20)</f>
        <v>실내</v>
      </c>
      <c r="AT20" s="72" t="str">
        <f t="array" ref="AT20">IFERROR(TRIM(_xlfn.REGEXEXTRACT(AR20,"(\d+[%]?$|[A-Z]+$)")),"")</f>
        <v>D</v>
      </c>
      <c r="AU20" s="67" t="s">
        <v>122</v>
      </c>
      <c r="AV20" s="70" t="str">
        <f t="shared" si="16"/>
        <v>屋内戦闘力</v>
      </c>
      <c r="AW20" s="70" t="str">
        <f t="array" ref="AW20">IFERROR(TRIM(_xlfn.REGEXEXTRACT(AU20,"(\d.+[%]?$|[0-9]|[A-Z]+$)")),"")</f>
        <v>D</v>
      </c>
      <c r="AX20" s="71" t="str">
        <f>IFERROR(VLOOKUP(AV20,'사용자가 입력할 시트'!$AF$2:$AG$60,2,FALSE),AV20)</f>
        <v>실내</v>
      </c>
      <c r="AY20" s="72" t="str">
        <f t="array" ref="AY20">IFERROR(TRIM(_xlfn.REGEXEXTRACT(AW20,"(\d+[%]?$|[A-Z]+$)")),"")</f>
        <v>D</v>
      </c>
      <c r="AZ20" s="67" t="s">
        <v>122</v>
      </c>
      <c r="BA20" s="70" t="str">
        <f t="shared" si="17"/>
        <v>屋内戦闘力</v>
      </c>
      <c r="BB20" s="70" t="str">
        <f t="array" ref="BB20">IFERROR(TRIM(_xlfn.REGEXEXTRACT(AZ20,"(\d.+[%]?$|[0-9]|[A-Z]+$)")),"")</f>
        <v>D</v>
      </c>
      <c r="BC20" s="71" t="str">
        <f>IFERROR(VLOOKUP(BA20,'사용자가 입력할 시트'!$AF$2:$AG$60,2,FALSE),BA20)</f>
        <v>실내</v>
      </c>
      <c r="BD20" s="72" t="str">
        <f t="array" ref="BD20">IFERROR(TRIM(_xlfn.REGEXEXTRACT(BB20,"(\d+[%]?$|[A-Z]+$)")),"")</f>
        <v>D</v>
      </c>
      <c r="BE20" s="67" t="s">
        <v>122</v>
      </c>
      <c r="BF20" s="70" t="str">
        <f t="shared" si="18"/>
        <v>屋内戦闘力</v>
      </c>
      <c r="BG20" s="70" t="str">
        <f t="array" ref="BG20">IFERROR(TRIM(_xlfn.REGEXEXTRACT(BE20,"(\d.+[%]?$|[0-9]|[A-Z]+$)")),"")</f>
        <v>D</v>
      </c>
      <c r="BH20" s="71" t="str">
        <f>IFERROR(VLOOKUP(BF20,'사용자가 입력할 시트'!$AF$2:$AG$60,2,FALSE),BF20)</f>
        <v>실내</v>
      </c>
      <c r="BI20" s="72" t="str">
        <f t="array" ref="BI20">IFERROR(TRIM(_xlfn.REGEXEXTRACT(BG20,"(\d+[%]?$|[A-Z]+$)")),"")</f>
        <v>D</v>
      </c>
      <c r="BJ20" s="67" t="s">
        <v>122</v>
      </c>
      <c r="BK20" s="70" t="str">
        <f t="shared" si="19"/>
        <v>屋内戦闘力</v>
      </c>
      <c r="BL20" s="70" t="str">
        <f t="array" ref="BL20">IFERROR(TRIM(_xlfn.REGEXEXTRACT(BJ20,"(\d.+[%]?$|[0-9]|[A-Z]+$)")),"")</f>
        <v>D</v>
      </c>
      <c r="BM20" s="71" t="str">
        <f>IFERROR(VLOOKUP(BK20,'사용자가 입력할 시트'!$AF$2:$AG$60,2,FALSE),BK20)</f>
        <v>실내</v>
      </c>
      <c r="BN20" s="72" t="str">
        <f t="array" ref="BN20">IFERROR(TRIM(_xlfn.REGEXEXTRACT(BL20,"(\d+[%]?$|[A-Z]+$)")),"")</f>
        <v>D</v>
      </c>
      <c r="BO20" s="67" t="s">
        <v>122</v>
      </c>
      <c r="BP20" s="70" t="str">
        <f t="shared" si="20"/>
        <v>屋内戦闘力</v>
      </c>
      <c r="BQ20" s="70" t="str">
        <f t="array" ref="BQ20">IFERROR(TRIM(_xlfn.REGEXEXTRACT(BO20,"(\d.+[%]?$|[0-9]|[A-Z]+$)")),"")</f>
        <v>D</v>
      </c>
      <c r="BR20" s="71" t="str">
        <f>IFERROR(VLOOKUP(BP20,'사용자가 입력할 시트'!$AF$2:$AG$60,2,FALSE),BP20)</f>
        <v>실내</v>
      </c>
      <c r="BS20" s="72" t="str">
        <f t="array" ref="BS20">IFERROR(TRIM(_xlfn.REGEXEXTRACT(BQ20,"(\d+[%]?$|[A-Z]+$)")),"")</f>
        <v>D</v>
      </c>
      <c r="BT20" s="67" t="s">
        <v>122</v>
      </c>
      <c r="BU20" s="70" t="str">
        <f t="shared" si="21"/>
        <v>屋内戦闘力</v>
      </c>
      <c r="BV20" s="70" t="str">
        <f t="array" ref="BV20">IFERROR(TRIM(_xlfn.REGEXEXTRACT(BT20,"(\d.+[%]?$|[0-9]|[A-Z]+$)")),"")</f>
        <v>D</v>
      </c>
      <c r="BW20" s="71" t="str">
        <f>IFERROR(VLOOKUP(BU20,'사용자가 입력할 시트'!$AF$2:$AG$60,2,FALSE),BU20)</f>
        <v>실내</v>
      </c>
      <c r="BX20" s="72" t="str">
        <f t="array" ref="BX20">IFERROR(TRIM(_xlfn.REGEXEXTRACT(BV20,"(\d+[%]?$|[A-Z]+$)")),"")</f>
        <v>D</v>
      </c>
      <c r="BY20" s="67" t="s">
        <v>122</v>
      </c>
      <c r="BZ20" s="70" t="str">
        <f t="shared" si="22"/>
        <v>屋内戦闘力</v>
      </c>
      <c r="CA20" s="70" t="str">
        <f t="array" ref="CA20">IFERROR(TRIM(_xlfn.REGEXEXTRACT(BY20,"(\d.+[%]?$|[0-9]|[A-Z]+$)")),"")</f>
        <v>D</v>
      </c>
      <c r="CB20" s="71" t="str">
        <f>IFERROR(VLOOKUP(BZ20,'사용자가 입력할 시트'!$AF$2:$AG$60,2,FALSE),BZ20)</f>
        <v>실내</v>
      </c>
      <c r="CC20" s="72" t="str">
        <f t="array" ref="CC20">IFERROR(TRIM(_xlfn.REGEXEXTRACT(CA20,"(\d+[%]?$|[A-Z]+$)")),"")</f>
        <v>D</v>
      </c>
    </row>
    <row r="21" spans="2:81" ht="16.5" customHeight="1">
      <c r="B21" s="112"/>
      <c r="C21" s="102"/>
      <c r="D21" s="22"/>
      <c r="E21" s="23"/>
      <c r="F21" s="23"/>
      <c r="G21" s="23"/>
      <c r="H21" s="22"/>
      <c r="I21" s="23"/>
      <c r="J21" s="23"/>
      <c r="K21" s="23"/>
      <c r="L21" s="23"/>
      <c r="M21" s="23"/>
      <c r="N21" s="23"/>
      <c r="O21" s="23"/>
      <c r="P21" s="24"/>
      <c r="Q21" s="59"/>
      <c r="W21" s="2" t="str">
        <f t="shared" ca="1" si="10"/>
        <v/>
      </c>
      <c r="X21" s="2" t="str">
        <f t="shared" ca="1" si="11"/>
        <v/>
      </c>
      <c r="Y21" s="2" t="str">
        <f t="shared" ca="1" si="12"/>
        <v/>
      </c>
      <c r="Z21" s="42" t="str">
        <f t="shared" ref="Z21" ca="1" si="35">IF(X20="","",$X$4&amp;" :"&amp;X20&amp;IF(X20=X21,"","("&amp;X21&amp;")"))</f>
        <v/>
      </c>
      <c r="AC21" s="42" t="s">
        <v>186</v>
      </c>
      <c r="AD21" s="4" t="str">
        <f>_xlfn.LET(_xlpm.titleCell, MATCH($AC$21, AS:AS, 0),_xlpm.nextTitleCell, IFERROR(_xlfn.AGGREGATE(15, 6, ROW($AS$2:$AS$100)/(LEFT($AS$2:$AS$100,1)="≪")/(ROW($AS$2:$AS$100)&gt;_xlpm.titleCell), 1), ROWS(AS:AS)+1),_xlpm.startRow, _xlpm.titleCell + 1,_xlpm.endRow, _xlpm.nextTitleCell - 1,_xlpm.colStart, COLUMN($AS$2),_xlpm.colEnd, _xlpm.colStart + 1,ADDRESS(_xlpm.startRow, _xlpm.colStart) &amp; ":" &amp; ADDRESS(_xlpm.endRow, _xlpm.colEnd))</f>
        <v>$AS$52:$AT$55</v>
      </c>
      <c r="AF21" s="67" t="s">
        <v>64</v>
      </c>
      <c r="AG21" s="70" t="str">
        <f t="shared" si="13"/>
        <v>コスト回復力</v>
      </c>
      <c r="AH21" s="70" t="str">
        <f t="array" ref="AH21">IFERROR(TRIM(_xlfn.REGEXEXTRACT(AF21,"(\d.+[%]?$|[0-9]|[A-Z]+$)")),"")</f>
        <v>700</v>
      </c>
      <c r="AI21" s="71" t="str">
        <f>IFERROR(VLOOKUP(AG21,'사용자가 입력할 시트'!$AF$2:$AG$60,2,FALSE),AG21)</f>
        <v>코스트회복</v>
      </c>
      <c r="AJ21" s="72" t="str">
        <f t="array" ref="AJ21">IFERROR(TRIM(_xlfn.REGEXEXTRACT(AH21,"(\d+[%]?$|[A-Z]+$)")),"")</f>
        <v>700</v>
      </c>
      <c r="AK21" s="67" t="s">
        <v>64</v>
      </c>
      <c r="AL21" s="70" t="str">
        <f t="shared" si="14"/>
        <v>コスト回復力</v>
      </c>
      <c r="AM21" s="70" t="str">
        <f t="array" ref="AM21">IFERROR(TRIM(_xlfn.REGEXEXTRACT(AK21,"(\d.+[%]?$|[0-9]|[A-Z]+$)")),"")</f>
        <v>700</v>
      </c>
      <c r="AN21" s="71" t="str">
        <f>IFERROR(VLOOKUP(AL21,'사용자가 입력할 시트'!$AF$2:$AG$60,2,FALSE),AL21)</f>
        <v>코스트회복</v>
      </c>
      <c r="AO21" s="72" t="str">
        <f t="array" ref="AO21">IFERROR(TRIM(_xlfn.REGEXEXTRACT(AM21,"(\d+[%]?$|[A-Z]+$)")),"")</f>
        <v>700</v>
      </c>
      <c r="AP21" s="67" t="s">
        <v>64</v>
      </c>
      <c r="AQ21" s="70" t="str">
        <f t="shared" si="15"/>
        <v>コスト回復力</v>
      </c>
      <c r="AR21" s="70" t="str">
        <f t="array" ref="AR21">IFERROR(TRIM(_xlfn.REGEXEXTRACT(AP21,"(\d.+[%]?$|[0-9]|[A-Z]+$)")),"")</f>
        <v>700</v>
      </c>
      <c r="AS21" s="71" t="str">
        <f>IFERROR(VLOOKUP(AQ21,'사용자가 입력할 시트'!$AF$2:$AG$60,2,FALSE),AQ21)</f>
        <v>코스트회복</v>
      </c>
      <c r="AT21" s="72" t="str">
        <f t="array" ref="AT21">IFERROR(TRIM(_xlfn.REGEXEXTRACT(AR21,"(\d+[%]?$|[A-Z]+$)")),"")</f>
        <v>700</v>
      </c>
      <c r="AU21" s="67" t="s">
        <v>64</v>
      </c>
      <c r="AV21" s="70" t="str">
        <f t="shared" si="16"/>
        <v>コスト回復力</v>
      </c>
      <c r="AW21" s="70" t="str">
        <f t="array" ref="AW21">IFERROR(TRIM(_xlfn.REGEXEXTRACT(AU21,"(\d.+[%]?$|[0-9]|[A-Z]+$)")),"")</f>
        <v>700</v>
      </c>
      <c r="AX21" s="71" t="str">
        <f>IFERROR(VLOOKUP(AV21,'사용자가 입력할 시트'!$AF$2:$AG$60,2,FALSE),AV21)</f>
        <v>코스트회복</v>
      </c>
      <c r="AY21" s="72" t="str">
        <f t="array" ref="AY21">IFERROR(TRIM(_xlfn.REGEXEXTRACT(AW21,"(\d+[%]?$|[A-Z]+$)")),"")</f>
        <v>700</v>
      </c>
      <c r="AZ21" s="67" t="s">
        <v>64</v>
      </c>
      <c r="BA21" s="70" t="str">
        <f t="shared" si="17"/>
        <v>コスト回復力</v>
      </c>
      <c r="BB21" s="70" t="str">
        <f t="array" ref="BB21">IFERROR(TRIM(_xlfn.REGEXEXTRACT(AZ21,"(\d.+[%]?$|[0-9]|[A-Z]+$)")),"")</f>
        <v>700</v>
      </c>
      <c r="BC21" s="71" t="str">
        <f>IFERROR(VLOOKUP(BA21,'사용자가 입력할 시트'!$AF$2:$AG$60,2,FALSE),BA21)</f>
        <v>코스트회복</v>
      </c>
      <c r="BD21" s="72" t="str">
        <f t="array" ref="BD21">IFERROR(TRIM(_xlfn.REGEXEXTRACT(BB21,"(\d+[%]?$|[A-Z]+$)")),"")</f>
        <v>700</v>
      </c>
      <c r="BE21" s="67" t="s">
        <v>64</v>
      </c>
      <c r="BF21" s="70" t="str">
        <f t="shared" si="18"/>
        <v>コスト回復力</v>
      </c>
      <c r="BG21" s="70" t="str">
        <f t="array" ref="BG21">IFERROR(TRIM(_xlfn.REGEXEXTRACT(BE21,"(\d.+[%]?$|[0-9]|[A-Z]+$)")),"")</f>
        <v>700</v>
      </c>
      <c r="BH21" s="71" t="str">
        <f>IFERROR(VLOOKUP(BF21,'사용자가 입력할 시트'!$AF$2:$AG$60,2,FALSE),BF21)</f>
        <v>코스트회복</v>
      </c>
      <c r="BI21" s="72" t="str">
        <f t="array" ref="BI21">IFERROR(TRIM(_xlfn.REGEXEXTRACT(BG21,"(\d+[%]?$|[A-Z]+$)")),"")</f>
        <v>700</v>
      </c>
      <c r="BJ21" s="67" t="s">
        <v>64</v>
      </c>
      <c r="BK21" s="70" t="str">
        <f t="shared" si="19"/>
        <v>コスト回復力</v>
      </c>
      <c r="BL21" s="70" t="str">
        <f t="array" ref="BL21">IFERROR(TRIM(_xlfn.REGEXEXTRACT(BJ21,"(\d.+[%]?$|[0-9]|[A-Z]+$)")),"")</f>
        <v>700</v>
      </c>
      <c r="BM21" s="71" t="str">
        <f>IFERROR(VLOOKUP(BK21,'사용자가 입력할 시트'!$AF$2:$AG$60,2,FALSE),BK21)</f>
        <v>코스트회복</v>
      </c>
      <c r="BN21" s="72" t="str">
        <f t="array" ref="BN21">IFERROR(TRIM(_xlfn.REGEXEXTRACT(BL21,"(\d+[%]?$|[A-Z]+$)")),"")</f>
        <v>700</v>
      </c>
      <c r="BO21" s="67" t="s">
        <v>64</v>
      </c>
      <c r="BP21" s="70" t="str">
        <f t="shared" si="20"/>
        <v>コスト回復力</v>
      </c>
      <c r="BQ21" s="70" t="str">
        <f t="array" ref="BQ21">IFERROR(TRIM(_xlfn.REGEXEXTRACT(BO21,"(\d.+[%]?$|[0-9]|[A-Z]+$)")),"")</f>
        <v>700</v>
      </c>
      <c r="BR21" s="71" t="str">
        <f>IFERROR(VLOOKUP(BP21,'사용자가 입력할 시트'!$AF$2:$AG$60,2,FALSE),BP21)</f>
        <v>코스트회복</v>
      </c>
      <c r="BS21" s="72" t="str">
        <f t="array" ref="BS21">IFERROR(TRIM(_xlfn.REGEXEXTRACT(BQ21,"(\d+[%]?$|[A-Z]+$)")),"")</f>
        <v>700</v>
      </c>
      <c r="BT21" s="67" t="s">
        <v>64</v>
      </c>
      <c r="BU21" s="70" t="str">
        <f t="shared" si="21"/>
        <v>コスト回復力</v>
      </c>
      <c r="BV21" s="70" t="str">
        <f t="array" ref="BV21">IFERROR(TRIM(_xlfn.REGEXEXTRACT(BT21,"(\d.+[%]?$|[0-9]|[A-Z]+$)")),"")</f>
        <v>700</v>
      </c>
      <c r="BW21" s="71" t="str">
        <f>IFERROR(VLOOKUP(BU21,'사용자가 입력할 시트'!$AF$2:$AG$60,2,FALSE),BU21)</f>
        <v>코스트회복</v>
      </c>
      <c r="BX21" s="72" t="str">
        <f t="array" ref="BX21">IFERROR(TRIM(_xlfn.REGEXEXTRACT(BV21,"(\d+[%]?$|[A-Z]+$)")),"")</f>
        <v>700</v>
      </c>
      <c r="BY21" s="67" t="s">
        <v>64</v>
      </c>
      <c r="BZ21" s="70" t="str">
        <f t="shared" si="22"/>
        <v>コスト回復力</v>
      </c>
      <c r="CA21" s="70" t="str">
        <f t="array" ref="CA21">IFERROR(TRIM(_xlfn.REGEXEXTRACT(BY21,"(\d.+[%]?$|[0-9]|[A-Z]+$)")),"")</f>
        <v>700</v>
      </c>
      <c r="CB21" s="71" t="str">
        <f>IFERROR(VLOOKUP(BZ21,'사용자가 입력할 시트'!$AF$2:$AG$60,2,FALSE),BZ21)</f>
        <v>코스트회복</v>
      </c>
      <c r="CC21" s="72" t="str">
        <f t="array" ref="CC21">IFERROR(TRIM(_xlfn.REGEXEXTRACT(CA21,"(\d+[%]?$|[A-Z]+$)")),"")</f>
        <v>700</v>
      </c>
    </row>
    <row r="22" spans="2:81" ht="16.5" customHeight="1">
      <c r="B22" s="113"/>
      <c r="C22" s="101"/>
      <c r="D22" s="29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9"/>
      <c r="Q22" s="58"/>
      <c r="W22" s="2" t="str">
        <f t="shared" ca="1" si="10"/>
        <v/>
      </c>
      <c r="X22" s="2" t="str">
        <f t="shared" ca="1" si="11"/>
        <v/>
      </c>
      <c r="Y22" s="2" t="str">
        <f t="shared" ca="1" si="12"/>
        <v/>
      </c>
      <c r="Z22" s="42" t="str">
        <f t="shared" ref="Z22" ca="1" si="36">IF(Y20="","",$Y$4&amp;" :"&amp;Y20&amp;IF(Y20=Y21,"","("&amp;Y21&amp;")"))</f>
        <v/>
      </c>
      <c r="AC22" s="42" t="s">
        <v>187</v>
      </c>
      <c r="AD22" s="4" t="str">
        <f>_xlfn.LET(_xlpm.titleCell, MATCH($AC$22, AS:AS, 0),_xlpm.nextTitleCell, IFERROR(_xlfn.AGGREGATE(15, 6, ROW($AS$2:$AS$100)/(LEFT($AS$2:$AS$100,1)="≪")/(ROW($AS$2:$AS$100)&gt;_xlpm.titleCell), 1), ROWS(AS:AS)+1),_xlpm.startRow, _xlpm.titleCell + 1,_xlpm.endRow, _xlpm.nextTitleCell - 1,_xlpm.colStart, COLUMN($AS$2),_xlpm.colEnd, _xlpm.colStart + 1,ADDRESS(_xlpm.startRow, _xlpm.colStart) &amp; ":" &amp; ADDRESS(_xlpm.endRow, _xlpm.colEnd))</f>
        <v>$AS$57:$AT$59</v>
      </c>
      <c r="AF22" s="67" t="s">
        <v>66</v>
      </c>
      <c r="AG22" s="70" t="str">
        <f t="shared" si="13"/>
        <v>CC抵抗力</v>
      </c>
      <c r="AH22" s="70" t="str">
        <f t="array" ref="AH22">IFERROR(TRIM(_xlfn.REGEXEXTRACT(AF22,"(\d.+[%]?$|[0-9]|[A-Z]+$)")),"")</f>
        <v>100</v>
      </c>
      <c r="AI22" s="71" t="str">
        <f>IFERROR(VLOOKUP(AG22,'사용자가 입력할 시트'!$AF$2:$AG$60,2,FALSE),AG22)</f>
        <v>CC저항력</v>
      </c>
      <c r="AJ22" s="72" t="str">
        <f t="array" ref="AJ22">IFERROR(TRIM(_xlfn.REGEXEXTRACT(AH22,"(\d+[%]?$|[A-Z]+$)")),"")</f>
        <v>100</v>
      </c>
      <c r="AK22" s="67" t="s">
        <v>66</v>
      </c>
      <c r="AL22" s="70" t="str">
        <f t="shared" si="14"/>
        <v>CC抵抗力</v>
      </c>
      <c r="AM22" s="70" t="str">
        <f t="array" ref="AM22">IFERROR(TRIM(_xlfn.REGEXEXTRACT(AK22,"(\d.+[%]?$|[0-9]|[A-Z]+$)")),"")</f>
        <v>100</v>
      </c>
      <c r="AN22" s="71" t="str">
        <f>IFERROR(VLOOKUP(AL22,'사용자가 입력할 시트'!$AF$2:$AG$60,2,FALSE),AL22)</f>
        <v>CC저항력</v>
      </c>
      <c r="AO22" s="72" t="str">
        <f t="array" ref="AO22">IFERROR(TRIM(_xlfn.REGEXEXTRACT(AM22,"(\d+[%]?$|[A-Z]+$)")),"")</f>
        <v>100</v>
      </c>
      <c r="AP22" s="67" t="s">
        <v>66</v>
      </c>
      <c r="AQ22" s="70" t="str">
        <f t="shared" si="15"/>
        <v>CC抵抗力</v>
      </c>
      <c r="AR22" s="70" t="str">
        <f t="array" ref="AR22">IFERROR(TRIM(_xlfn.REGEXEXTRACT(AP22,"(\d.+[%]?$|[0-9]|[A-Z]+$)")),"")</f>
        <v>100</v>
      </c>
      <c r="AS22" s="71" t="str">
        <f>IFERROR(VLOOKUP(AQ22,'사용자가 입력할 시트'!$AF$2:$AG$60,2,FALSE),AQ22)</f>
        <v>CC저항력</v>
      </c>
      <c r="AT22" s="72" t="str">
        <f t="array" ref="AT22">IFERROR(TRIM(_xlfn.REGEXEXTRACT(AR22,"(\d+[%]?$|[A-Z]+$)")),"")</f>
        <v>100</v>
      </c>
      <c r="AU22" s="67" t="s">
        <v>66</v>
      </c>
      <c r="AV22" s="70" t="str">
        <f t="shared" si="16"/>
        <v>CC抵抗力</v>
      </c>
      <c r="AW22" s="70" t="str">
        <f t="array" ref="AW22">IFERROR(TRIM(_xlfn.REGEXEXTRACT(AU22,"(\d.+[%]?$|[0-9]|[A-Z]+$)")),"")</f>
        <v>100</v>
      </c>
      <c r="AX22" s="71" t="str">
        <f>IFERROR(VLOOKUP(AV22,'사용자가 입력할 시트'!$AF$2:$AG$60,2,FALSE),AV22)</f>
        <v>CC저항력</v>
      </c>
      <c r="AY22" s="72" t="str">
        <f t="array" ref="AY22">IFERROR(TRIM(_xlfn.REGEXEXTRACT(AW22,"(\d+[%]?$|[A-Z]+$)")),"")</f>
        <v>100</v>
      </c>
      <c r="AZ22" s="67" t="s">
        <v>66</v>
      </c>
      <c r="BA22" s="70" t="str">
        <f t="shared" si="17"/>
        <v>CC抵抗力</v>
      </c>
      <c r="BB22" s="70" t="str">
        <f t="array" ref="BB22">IFERROR(TRIM(_xlfn.REGEXEXTRACT(AZ22,"(\d.+[%]?$|[0-9]|[A-Z]+$)")),"")</f>
        <v>100</v>
      </c>
      <c r="BC22" s="71" t="str">
        <f>IFERROR(VLOOKUP(BA22,'사용자가 입력할 시트'!$AF$2:$AG$60,2,FALSE),BA22)</f>
        <v>CC저항력</v>
      </c>
      <c r="BD22" s="72" t="str">
        <f t="array" ref="BD22">IFERROR(TRIM(_xlfn.REGEXEXTRACT(BB22,"(\d+[%]?$|[A-Z]+$)")),"")</f>
        <v>100</v>
      </c>
      <c r="BE22" s="67" t="s">
        <v>66</v>
      </c>
      <c r="BF22" s="70" t="str">
        <f t="shared" si="18"/>
        <v>CC抵抗力</v>
      </c>
      <c r="BG22" s="70" t="str">
        <f t="array" ref="BG22">IFERROR(TRIM(_xlfn.REGEXEXTRACT(BE22,"(\d.+[%]?$|[0-9]|[A-Z]+$)")),"")</f>
        <v>100</v>
      </c>
      <c r="BH22" s="71" t="str">
        <f>IFERROR(VLOOKUP(BF22,'사용자가 입력할 시트'!$AF$2:$AG$60,2,FALSE),BF22)</f>
        <v>CC저항력</v>
      </c>
      <c r="BI22" s="72" t="str">
        <f t="array" ref="BI22">IFERROR(TRIM(_xlfn.REGEXEXTRACT(BG22,"(\d+[%]?$|[A-Z]+$)")),"")</f>
        <v>100</v>
      </c>
      <c r="BJ22" s="67" t="s">
        <v>66</v>
      </c>
      <c r="BK22" s="70" t="str">
        <f t="shared" si="19"/>
        <v>CC抵抗力</v>
      </c>
      <c r="BL22" s="70" t="str">
        <f t="array" ref="BL22">IFERROR(TRIM(_xlfn.REGEXEXTRACT(BJ22,"(\d.+[%]?$|[0-9]|[A-Z]+$)")),"")</f>
        <v>100</v>
      </c>
      <c r="BM22" s="71" t="str">
        <f>IFERROR(VLOOKUP(BK22,'사용자가 입력할 시트'!$AF$2:$AG$60,2,FALSE),BK22)</f>
        <v>CC저항력</v>
      </c>
      <c r="BN22" s="72" t="str">
        <f t="array" ref="BN22">IFERROR(TRIM(_xlfn.REGEXEXTRACT(BL22,"(\d+[%]?$|[A-Z]+$)")),"")</f>
        <v>100</v>
      </c>
      <c r="BO22" s="67" t="s">
        <v>66</v>
      </c>
      <c r="BP22" s="70" t="str">
        <f t="shared" si="20"/>
        <v>CC抵抗力</v>
      </c>
      <c r="BQ22" s="70" t="str">
        <f t="array" ref="BQ22">IFERROR(TRIM(_xlfn.REGEXEXTRACT(BO22,"(\d.+[%]?$|[0-9]|[A-Z]+$)")),"")</f>
        <v>100</v>
      </c>
      <c r="BR22" s="71" t="str">
        <f>IFERROR(VLOOKUP(BP22,'사용자가 입력할 시트'!$AF$2:$AG$60,2,FALSE),BP22)</f>
        <v>CC저항력</v>
      </c>
      <c r="BS22" s="72" t="str">
        <f t="array" ref="BS22">IFERROR(TRIM(_xlfn.REGEXEXTRACT(BQ22,"(\d+[%]?$|[A-Z]+$)")),"")</f>
        <v>100</v>
      </c>
      <c r="BT22" s="67" t="s">
        <v>66</v>
      </c>
      <c r="BU22" s="70" t="str">
        <f t="shared" si="21"/>
        <v>CC抵抗力</v>
      </c>
      <c r="BV22" s="70" t="str">
        <f t="array" ref="BV22">IFERROR(TRIM(_xlfn.REGEXEXTRACT(BT22,"(\d.+[%]?$|[0-9]|[A-Z]+$)")),"")</f>
        <v>100</v>
      </c>
      <c r="BW22" s="71" t="str">
        <f>IFERROR(VLOOKUP(BU22,'사용자가 입력할 시트'!$AF$2:$AG$60,2,FALSE),BU22)</f>
        <v>CC저항력</v>
      </c>
      <c r="BX22" s="72" t="str">
        <f t="array" ref="BX22">IFERROR(TRIM(_xlfn.REGEXEXTRACT(BV22,"(\d+[%]?$|[A-Z]+$)")),"")</f>
        <v>100</v>
      </c>
      <c r="BY22" s="67" t="s">
        <v>66</v>
      </c>
      <c r="BZ22" s="70" t="str">
        <f t="shared" si="22"/>
        <v>CC抵抗力</v>
      </c>
      <c r="CA22" s="70" t="str">
        <f t="array" ref="CA22">IFERROR(TRIM(_xlfn.REGEXEXTRACT(BY22,"(\d.+[%]?$|[0-9]|[A-Z]+$)")),"")</f>
        <v>100</v>
      </c>
      <c r="CB22" s="71" t="str">
        <f>IFERROR(VLOOKUP(BZ22,'사용자가 입력할 시트'!$AF$2:$AG$60,2,FALSE),BZ22)</f>
        <v>CC저항력</v>
      </c>
      <c r="CC22" s="72" t="str">
        <f t="array" ref="CC22">IFERROR(TRIM(_xlfn.REGEXEXTRACT(CA22,"(\d+[%]?$|[A-Z]+$)")),"")</f>
        <v>100</v>
      </c>
    </row>
    <row r="23" spans="2:81" ht="16.5" customHeight="1">
      <c r="B23" s="60"/>
      <c r="C23" s="103" t="s">
        <v>174</v>
      </c>
      <c r="D23" s="22"/>
      <c r="E23" s="23"/>
      <c r="F23" s="23"/>
      <c r="G23" s="23"/>
      <c r="H23" s="23"/>
      <c r="I23" s="22"/>
      <c r="J23" s="22"/>
      <c r="K23" s="22"/>
      <c r="L23" s="22"/>
      <c r="M23" s="23"/>
      <c r="N23" s="23"/>
      <c r="O23" s="22"/>
      <c r="P23" s="27"/>
      <c r="Q23" s="61"/>
      <c r="W23" s="2" t="str">
        <f t="shared" ca="1" si="10"/>
        <v>S</v>
      </c>
      <c r="X23" s="2" t="str">
        <f t="shared" ca="1" si="11"/>
        <v>D</v>
      </c>
      <c r="Y23" s="2" t="str">
        <f t="shared" ca="1" si="12"/>
        <v>B</v>
      </c>
      <c r="Z23" s="42" t="str">
        <f t="shared" ref="Z23" ca="1" si="37">IF(W23="","",$W$4&amp;" :"&amp;W23&amp;IF(W23=W24,"","("&amp;W24&amp;")"))</f>
        <v>시가 :S()</v>
      </c>
      <c r="AC23" s="42" t="s">
        <v>188</v>
      </c>
      <c r="AD23" s="4" t="str">
        <f>_xlfn.LET(_xlpm.titleCell, MATCH($AC$23, AS:AS, 0),_xlpm.nextTitleCell, IFERROR(_xlfn.AGGREGATE(15, 6, ROW($AS$2:$AS$100)/(LEFT($AS$2:$AS$100,1)="≪")/(ROW($AS$2:$AS$100)&gt;_xlpm.titleCell), 1), ROWS(AS:AS)+1),_xlpm.startRow, _xlpm.titleCell + 1,_xlpm.endRow, _xlpm.nextTitleCell - 1,_xlpm.colStart, COLUMN($AS$2),_xlpm.colEnd, _xlpm.colStart + 1,ADDRESS(_xlpm.startRow, _xlpm.colStart) &amp; ":" &amp; ADDRESS(_xlpm.endRow, _xlpm.colEnd))</f>
        <v>$AS$61:$AT$63</v>
      </c>
      <c r="AF23" s="67" t="s">
        <v>123</v>
      </c>
      <c r="AG23" s="70" t="str">
        <f t="shared" si="13"/>
        <v>最大コスト増加</v>
      </c>
      <c r="AH23" s="70" t="str">
        <f t="array" ref="AH23">IFERROR(TRIM(_xlfn.REGEXEXTRACT(AF23,"(\d.+[%]?$|[0-9]|[A-Z]+$)")),"")</f>
        <v>0</v>
      </c>
      <c r="AI23" s="71" t="str">
        <f>IFERROR(VLOOKUP(AG23,'사용자가 입력할 시트'!$AF$2:$AG$60,2,FALSE),AG23)</f>
        <v>최대 코스트 증가</v>
      </c>
      <c r="AJ23" s="72" t="str">
        <f t="array" ref="AJ23">IFERROR(TRIM(_xlfn.REGEXEXTRACT(AH23,"(\d+[%]?$|[A-Z]+$)")),"")</f>
        <v>0</v>
      </c>
      <c r="AK23" s="67" t="s">
        <v>123</v>
      </c>
      <c r="AL23" s="70" t="str">
        <f t="shared" si="14"/>
        <v>最大コスト増加</v>
      </c>
      <c r="AM23" s="70" t="str">
        <f t="array" ref="AM23">IFERROR(TRIM(_xlfn.REGEXEXTRACT(AK23,"(\d.+[%]?$|[0-9]|[A-Z]+$)")),"")</f>
        <v>0</v>
      </c>
      <c r="AN23" s="71" t="str">
        <f>IFERROR(VLOOKUP(AL23,'사용자가 입력할 시트'!$AF$2:$AG$60,2,FALSE),AL23)</f>
        <v>최대 코스트 증가</v>
      </c>
      <c r="AO23" s="72" t="str">
        <f t="array" ref="AO23">IFERROR(TRIM(_xlfn.REGEXEXTRACT(AM23,"(\d+[%]?$|[A-Z]+$)")),"")</f>
        <v>0</v>
      </c>
      <c r="AP23" s="67" t="s">
        <v>123</v>
      </c>
      <c r="AQ23" s="70" t="str">
        <f t="shared" si="15"/>
        <v>最大コスト増加</v>
      </c>
      <c r="AR23" s="70" t="str">
        <f t="array" ref="AR23">IFERROR(TRIM(_xlfn.REGEXEXTRACT(AP23,"(\d.+[%]?$|[0-9]|[A-Z]+$)")),"")</f>
        <v>0</v>
      </c>
      <c r="AS23" s="71" t="str">
        <f>IFERROR(VLOOKUP(AQ23,'사용자가 입력할 시트'!$AF$2:$AG$60,2,FALSE),AQ23)</f>
        <v>최대 코스트 증가</v>
      </c>
      <c r="AT23" s="72" t="str">
        <f t="array" ref="AT23">IFERROR(TRIM(_xlfn.REGEXEXTRACT(AR23,"(\d+[%]?$|[A-Z]+$)")),"")</f>
        <v>0</v>
      </c>
      <c r="AU23" s="67" t="s">
        <v>123</v>
      </c>
      <c r="AV23" s="70" t="str">
        <f t="shared" si="16"/>
        <v>最大コスト増加</v>
      </c>
      <c r="AW23" s="70" t="str">
        <f t="array" ref="AW23">IFERROR(TRIM(_xlfn.REGEXEXTRACT(AU23,"(\d.+[%]?$|[0-9]|[A-Z]+$)")),"")</f>
        <v>0</v>
      </c>
      <c r="AX23" s="71" t="str">
        <f>IFERROR(VLOOKUP(AV23,'사용자가 입력할 시트'!$AF$2:$AG$60,2,FALSE),AV23)</f>
        <v>최대 코스트 증가</v>
      </c>
      <c r="AY23" s="72" t="str">
        <f t="array" ref="AY23">IFERROR(TRIM(_xlfn.REGEXEXTRACT(AW23,"(\d+[%]?$|[A-Z]+$)")),"")</f>
        <v>0</v>
      </c>
      <c r="AZ23" s="67" t="s">
        <v>123</v>
      </c>
      <c r="BA23" s="70" t="str">
        <f t="shared" si="17"/>
        <v>最大コスト増加</v>
      </c>
      <c r="BB23" s="70" t="str">
        <f t="array" ref="BB23">IFERROR(TRIM(_xlfn.REGEXEXTRACT(AZ23,"(\d.+[%]?$|[0-9]|[A-Z]+$)")),"")</f>
        <v>0</v>
      </c>
      <c r="BC23" s="71" t="str">
        <f>IFERROR(VLOOKUP(BA23,'사용자가 입력할 시트'!$AF$2:$AG$60,2,FALSE),BA23)</f>
        <v>최대 코스트 증가</v>
      </c>
      <c r="BD23" s="72" t="str">
        <f t="array" ref="BD23">IFERROR(TRIM(_xlfn.REGEXEXTRACT(BB23,"(\d+[%]?$|[A-Z]+$)")),"")</f>
        <v>0</v>
      </c>
      <c r="BE23" s="67" t="s">
        <v>123</v>
      </c>
      <c r="BF23" s="70" t="str">
        <f t="shared" si="18"/>
        <v>最大コスト増加</v>
      </c>
      <c r="BG23" s="70" t="str">
        <f t="array" ref="BG23">IFERROR(TRIM(_xlfn.REGEXEXTRACT(BE23,"(\d.+[%]?$|[0-9]|[A-Z]+$)")),"")</f>
        <v>0</v>
      </c>
      <c r="BH23" s="71" t="str">
        <f>IFERROR(VLOOKUP(BF23,'사용자가 입력할 시트'!$AF$2:$AG$60,2,FALSE),BF23)</f>
        <v>최대 코스트 증가</v>
      </c>
      <c r="BI23" s="72" t="str">
        <f t="array" ref="BI23">IFERROR(TRIM(_xlfn.REGEXEXTRACT(BG23,"(\d+[%]?$|[A-Z]+$)")),"")</f>
        <v>0</v>
      </c>
      <c r="BJ23" s="67" t="s">
        <v>123</v>
      </c>
      <c r="BK23" s="70" t="str">
        <f t="shared" si="19"/>
        <v>最大コスト増加</v>
      </c>
      <c r="BL23" s="70" t="str">
        <f t="array" ref="BL23">IFERROR(TRIM(_xlfn.REGEXEXTRACT(BJ23,"(\d.+[%]?$|[0-9]|[A-Z]+$)")),"")</f>
        <v>0</v>
      </c>
      <c r="BM23" s="71" t="str">
        <f>IFERROR(VLOOKUP(BK23,'사용자가 입력할 시트'!$AF$2:$AG$60,2,FALSE),BK23)</f>
        <v>최대 코스트 증가</v>
      </c>
      <c r="BN23" s="72" t="str">
        <f t="array" ref="BN23">IFERROR(TRIM(_xlfn.REGEXEXTRACT(BL23,"(\d+[%]?$|[A-Z]+$)")),"")</f>
        <v>0</v>
      </c>
      <c r="BO23" s="67" t="s">
        <v>123</v>
      </c>
      <c r="BP23" s="70" t="str">
        <f t="shared" si="20"/>
        <v>最大コスト増加</v>
      </c>
      <c r="BQ23" s="70" t="str">
        <f t="array" ref="BQ23">IFERROR(TRIM(_xlfn.REGEXEXTRACT(BO23,"(\d.+[%]?$|[0-9]|[A-Z]+$)")),"")</f>
        <v>0</v>
      </c>
      <c r="BR23" s="71" t="str">
        <f>IFERROR(VLOOKUP(BP23,'사용자가 입력할 시트'!$AF$2:$AG$60,2,FALSE),BP23)</f>
        <v>최대 코스트 증가</v>
      </c>
      <c r="BS23" s="72" t="str">
        <f t="array" ref="BS23">IFERROR(TRIM(_xlfn.REGEXEXTRACT(BQ23,"(\d+[%]?$|[A-Z]+$)")),"")</f>
        <v>0</v>
      </c>
      <c r="BT23" s="67" t="s">
        <v>123</v>
      </c>
      <c r="BU23" s="70" t="str">
        <f t="shared" si="21"/>
        <v>最大コスト増加</v>
      </c>
      <c r="BV23" s="70" t="str">
        <f t="array" ref="BV23">IFERROR(TRIM(_xlfn.REGEXEXTRACT(BT23,"(\d.+[%]?$|[0-9]|[A-Z]+$)")),"")</f>
        <v>0</v>
      </c>
      <c r="BW23" s="71" t="str">
        <f>IFERROR(VLOOKUP(BU23,'사용자가 입력할 시트'!$AF$2:$AG$60,2,FALSE),BU23)</f>
        <v>최대 코스트 증가</v>
      </c>
      <c r="BX23" s="72" t="str">
        <f t="array" ref="BX23">IFERROR(TRIM(_xlfn.REGEXEXTRACT(BV23,"(\d+[%]?$|[A-Z]+$)")),"")</f>
        <v>0</v>
      </c>
      <c r="BY23" s="67" t="s">
        <v>123</v>
      </c>
      <c r="BZ23" s="70" t="str">
        <f t="shared" si="22"/>
        <v>最大コスト増加</v>
      </c>
      <c r="CA23" s="70" t="str">
        <f t="array" ref="CA23">IFERROR(TRIM(_xlfn.REGEXEXTRACT(BY23,"(\d.+[%]?$|[0-9]|[A-Z]+$)")),"")</f>
        <v>0</v>
      </c>
      <c r="CB23" s="71" t="str">
        <f>IFERROR(VLOOKUP(BZ23,'사용자가 입력할 시트'!$AF$2:$AG$60,2,FALSE),BZ23)</f>
        <v>최대 코스트 증가</v>
      </c>
      <c r="CC23" s="72" t="str">
        <f t="array" ref="CC23">IFERROR(TRIM(_xlfn.REGEXEXTRACT(CA23,"(\d+[%]?$|[A-Z]+$)")),"")</f>
        <v>0</v>
      </c>
    </row>
    <row r="24" spans="2:81" ht="16.5" customHeight="1">
      <c r="B24" s="60"/>
      <c r="C24" s="104"/>
      <c r="D24" s="29"/>
      <c r="E24" s="18"/>
      <c r="F24" s="18"/>
      <c r="G24" s="18"/>
      <c r="H24" s="18"/>
      <c r="I24" s="29"/>
      <c r="J24" s="29"/>
      <c r="K24" s="29"/>
      <c r="L24" s="29"/>
      <c r="M24" s="18"/>
      <c r="N24" s="18"/>
      <c r="O24" s="29"/>
      <c r="P24" s="30"/>
      <c r="Q24" s="62"/>
      <c r="W24" s="2" t="str">
        <f t="shared" ca="1" si="10"/>
        <v/>
      </c>
      <c r="X24" s="2" t="str">
        <f t="shared" ca="1" si="11"/>
        <v/>
      </c>
      <c r="Y24" s="2" t="str">
        <f t="shared" ca="1" si="12"/>
        <v/>
      </c>
      <c r="Z24" s="42" t="str">
        <f t="shared" ref="Z24" ca="1" si="38">IF(X23="","",$X$4&amp;" :"&amp;X23&amp;IF(X23=X24,"","("&amp;X24&amp;")"))</f>
        <v>실내 :D()</v>
      </c>
      <c r="AB24" s="1" t="s">
        <v>191</v>
      </c>
      <c r="AC24" s="4" t="s">
        <v>183</v>
      </c>
      <c r="AD24" s="4" t="str">
        <f>_xlfn.LET(_xlpm.titleCell, MATCH($AC$24, AX:AX, 0),_xlpm.nextTitleCell, IFERROR(_xlfn.AGGREGATE(15, 6, ROW($AX$2:$AX$100)/(LEFT($AX$2:$AX$100,1)="≪")/(ROW($AX$2:$AX$100)&gt;_xlpm.titleCell), 1), ROWS(AX:AX)+1),_xlpm.startRow, _xlpm.titleCell + 1,_xlpm.endRow, _xlpm.nextTitleCell - 1,_xlpm.colStart, COLUMN($AX$2),_xlpm.colEnd, _xlpm.colStart + 1,ADDRESS(_xlpm.startRow, _xlpm.colStart) &amp; ":" &amp; ADDRESS(_xlpm.endRow, _xlpm.colEnd))</f>
        <v>$AX$6:$AY$25</v>
      </c>
      <c r="AF24" s="67" t="s">
        <v>124</v>
      </c>
      <c r="AG24" s="70" t="str">
        <f t="shared" si="13"/>
        <v>屋外戦闘力</v>
      </c>
      <c r="AH24" s="70" t="str">
        <f t="array" ref="AH24">IFERROR(TRIM(_xlfn.REGEXEXTRACT(AF24,"(\d.+[%]?$|[0-9]|[A-Z]+$)")),"")</f>
        <v>B</v>
      </c>
      <c r="AI24" s="71" t="str">
        <f>IFERROR(VLOOKUP(AG24,'사용자가 입력할 시트'!$AF$2:$AG$60,2,FALSE),AG24)</f>
        <v>야외</v>
      </c>
      <c r="AJ24" s="72" t="str">
        <f t="array" ref="AJ24">IFERROR(TRIM(_xlfn.REGEXEXTRACT(AH24,"(\d+[%]?$|[A-Z]+$)")),"")</f>
        <v>B</v>
      </c>
      <c r="AK24" s="67" t="s">
        <v>124</v>
      </c>
      <c r="AL24" s="70" t="str">
        <f t="shared" si="14"/>
        <v>屋外戦闘力</v>
      </c>
      <c r="AM24" s="70" t="str">
        <f t="array" ref="AM24">IFERROR(TRIM(_xlfn.REGEXEXTRACT(AK24,"(\d.+[%]?$|[0-9]|[A-Z]+$)")),"")</f>
        <v>B</v>
      </c>
      <c r="AN24" s="71" t="str">
        <f>IFERROR(VLOOKUP(AL24,'사용자가 입력할 시트'!$AF$2:$AG$60,2,FALSE),AL24)</f>
        <v>야외</v>
      </c>
      <c r="AO24" s="72" t="str">
        <f t="array" ref="AO24">IFERROR(TRIM(_xlfn.REGEXEXTRACT(AM24,"(\d+[%]?$|[A-Z]+$)")),"")</f>
        <v>B</v>
      </c>
      <c r="AP24" s="67" t="s">
        <v>124</v>
      </c>
      <c r="AQ24" s="70" t="str">
        <f t="shared" si="15"/>
        <v>屋外戦闘力</v>
      </c>
      <c r="AR24" s="70" t="str">
        <f t="array" ref="AR24">IFERROR(TRIM(_xlfn.REGEXEXTRACT(AP24,"(\d.+[%]?$|[0-9]|[A-Z]+$)")),"")</f>
        <v>B</v>
      </c>
      <c r="AS24" s="71" t="str">
        <f>IFERROR(VLOOKUP(AQ24,'사용자가 입력할 시트'!$AF$2:$AG$60,2,FALSE),AQ24)</f>
        <v>야외</v>
      </c>
      <c r="AT24" s="72" t="str">
        <f t="array" ref="AT24">IFERROR(TRIM(_xlfn.REGEXEXTRACT(AR24,"(\d+[%]?$|[A-Z]+$)")),"")</f>
        <v>B</v>
      </c>
      <c r="AU24" s="67" t="s">
        <v>124</v>
      </c>
      <c r="AV24" s="70" t="str">
        <f t="shared" si="16"/>
        <v>屋外戦闘力</v>
      </c>
      <c r="AW24" s="70" t="str">
        <f t="array" ref="AW24">IFERROR(TRIM(_xlfn.REGEXEXTRACT(AU24,"(\d.+[%]?$|[0-9]|[A-Z]+$)")),"")</f>
        <v>B</v>
      </c>
      <c r="AX24" s="71" t="str">
        <f>IFERROR(VLOOKUP(AV24,'사용자가 입력할 시트'!$AF$2:$AG$60,2,FALSE),AV24)</f>
        <v>야외</v>
      </c>
      <c r="AY24" s="72" t="str">
        <f t="array" ref="AY24">IFERROR(TRIM(_xlfn.REGEXEXTRACT(AW24,"(\d+[%]?$|[A-Z]+$)")),"")</f>
        <v>B</v>
      </c>
      <c r="AZ24" s="67" t="s">
        <v>124</v>
      </c>
      <c r="BA24" s="70" t="str">
        <f t="shared" si="17"/>
        <v>屋外戦闘力</v>
      </c>
      <c r="BB24" s="70" t="str">
        <f t="array" ref="BB24">IFERROR(TRIM(_xlfn.REGEXEXTRACT(AZ24,"(\d.+[%]?$|[0-9]|[A-Z]+$)")),"")</f>
        <v>B</v>
      </c>
      <c r="BC24" s="71" t="str">
        <f>IFERROR(VLOOKUP(BA24,'사용자가 입력할 시트'!$AF$2:$AG$60,2,FALSE),BA24)</f>
        <v>야외</v>
      </c>
      <c r="BD24" s="72" t="str">
        <f t="array" ref="BD24">IFERROR(TRIM(_xlfn.REGEXEXTRACT(BB24,"(\d+[%]?$|[A-Z]+$)")),"")</f>
        <v>B</v>
      </c>
      <c r="BE24" s="67" t="s">
        <v>124</v>
      </c>
      <c r="BF24" s="70" t="str">
        <f t="shared" si="18"/>
        <v>屋外戦闘力</v>
      </c>
      <c r="BG24" s="70" t="str">
        <f t="array" ref="BG24">IFERROR(TRIM(_xlfn.REGEXEXTRACT(BE24,"(\d.+[%]?$|[0-9]|[A-Z]+$)")),"")</f>
        <v>B</v>
      </c>
      <c r="BH24" s="71" t="str">
        <f>IFERROR(VLOOKUP(BF24,'사용자가 입력할 시트'!$AF$2:$AG$60,2,FALSE),BF24)</f>
        <v>야외</v>
      </c>
      <c r="BI24" s="72" t="str">
        <f t="array" ref="BI24">IFERROR(TRIM(_xlfn.REGEXEXTRACT(BG24,"(\d+[%]?$|[A-Z]+$)")),"")</f>
        <v>B</v>
      </c>
      <c r="BJ24" s="67" t="s">
        <v>124</v>
      </c>
      <c r="BK24" s="70" t="str">
        <f t="shared" si="19"/>
        <v>屋外戦闘力</v>
      </c>
      <c r="BL24" s="70" t="str">
        <f t="array" ref="BL24">IFERROR(TRIM(_xlfn.REGEXEXTRACT(BJ24,"(\d.+[%]?$|[0-9]|[A-Z]+$)")),"")</f>
        <v>B</v>
      </c>
      <c r="BM24" s="71" t="str">
        <f>IFERROR(VLOOKUP(BK24,'사용자가 입력할 시트'!$AF$2:$AG$60,2,FALSE),BK24)</f>
        <v>야외</v>
      </c>
      <c r="BN24" s="72" t="str">
        <f t="array" ref="BN24">IFERROR(TRIM(_xlfn.REGEXEXTRACT(BL24,"(\d+[%]?$|[A-Z]+$)")),"")</f>
        <v>B</v>
      </c>
      <c r="BO24" s="67" t="s">
        <v>124</v>
      </c>
      <c r="BP24" s="70" t="str">
        <f t="shared" si="20"/>
        <v>屋外戦闘力</v>
      </c>
      <c r="BQ24" s="70" t="str">
        <f t="array" ref="BQ24">IFERROR(TRIM(_xlfn.REGEXEXTRACT(BO24,"(\d.+[%]?$|[0-9]|[A-Z]+$)")),"")</f>
        <v>B</v>
      </c>
      <c r="BR24" s="71" t="str">
        <f>IFERROR(VLOOKUP(BP24,'사용자가 입력할 시트'!$AF$2:$AG$60,2,FALSE),BP24)</f>
        <v>야외</v>
      </c>
      <c r="BS24" s="72" t="str">
        <f t="array" ref="BS24">IFERROR(TRIM(_xlfn.REGEXEXTRACT(BQ24,"(\d+[%]?$|[A-Z]+$)")),"")</f>
        <v>B</v>
      </c>
      <c r="BT24" s="67" t="s">
        <v>124</v>
      </c>
      <c r="BU24" s="70" t="str">
        <f t="shared" si="21"/>
        <v>屋外戦闘力</v>
      </c>
      <c r="BV24" s="70" t="str">
        <f t="array" ref="BV24">IFERROR(TRIM(_xlfn.REGEXEXTRACT(BT24,"(\d.+[%]?$|[0-9]|[A-Z]+$)")),"")</f>
        <v>B</v>
      </c>
      <c r="BW24" s="71" t="str">
        <f>IFERROR(VLOOKUP(BU24,'사용자가 입력할 시트'!$AF$2:$AG$60,2,FALSE),BU24)</f>
        <v>야외</v>
      </c>
      <c r="BX24" s="72" t="str">
        <f t="array" ref="BX24">IFERROR(TRIM(_xlfn.REGEXEXTRACT(BV24,"(\d+[%]?$|[A-Z]+$)")),"")</f>
        <v>B</v>
      </c>
      <c r="BY24" s="67" t="s">
        <v>124</v>
      </c>
      <c r="BZ24" s="70" t="str">
        <f t="shared" si="22"/>
        <v>屋外戦闘力</v>
      </c>
      <c r="CA24" s="70" t="str">
        <f t="array" ref="CA24">IFERROR(TRIM(_xlfn.REGEXEXTRACT(BY24,"(\d.+[%]?$|[0-9]|[A-Z]+$)")),"")</f>
        <v>B</v>
      </c>
      <c r="CB24" s="71" t="str">
        <f>IFERROR(VLOOKUP(BZ24,'사용자가 입력할 시트'!$AF$2:$AG$60,2,FALSE),BZ24)</f>
        <v>야외</v>
      </c>
      <c r="CC24" s="72" t="str">
        <f t="array" ref="CC24">IFERROR(TRIM(_xlfn.REGEXEXTRACT(CA24,"(\d+[%]?$|[A-Z]+$)")),"")</f>
        <v>B</v>
      </c>
    </row>
    <row r="25" spans="2:81">
      <c r="B25" s="63"/>
      <c r="C25" s="105"/>
      <c r="D25" s="35"/>
      <c r="E25" s="36"/>
      <c r="F25" s="36"/>
      <c r="G25" s="36"/>
      <c r="H25" s="35"/>
      <c r="I25" s="36"/>
      <c r="J25" s="36"/>
      <c r="K25" s="36"/>
      <c r="L25" s="36"/>
      <c r="M25" s="36"/>
      <c r="N25" s="36"/>
      <c r="O25" s="36"/>
      <c r="P25" s="37"/>
      <c r="Q25" s="64"/>
      <c r="W25" s="2" t="str">
        <f t="shared" ca="1" si="10"/>
        <v/>
      </c>
      <c r="X25" s="2" t="str">
        <f t="shared" ca="1" si="11"/>
        <v/>
      </c>
      <c r="Y25" s="2" t="str">
        <f t="shared" ca="1" si="12"/>
        <v/>
      </c>
      <c r="Z25" s="42" t="str">
        <f t="shared" ref="Z25" ca="1" si="39">IF(Y23="","",$Y$4&amp;" :"&amp;Y23&amp;IF(Y23=Y24,"","("&amp;Y24&amp;")"))</f>
        <v>야외 :B()</v>
      </c>
      <c r="AC25" s="4" t="s">
        <v>185</v>
      </c>
      <c r="AD25" s="4" t="str">
        <f>_xlfn.LET(_xlpm.titleCell, MATCH($AC$25, AX:AX, 0),_xlpm.nextTitleCell, IFERROR(_xlfn.AGGREGATE(15, 6, ROW($AX$2:$AX$100)/(LEFT($AX$2:$AX$100,1)="≪")/(ROW($AX$2:$AX$100)&gt;_xlpm.titleCell), 1), ROWS(AX:AX)+1),_xlpm.startRow, _xlpm.titleCell + 1,_xlpm.endRow, _xlpm.nextTitleCell - 1,_xlpm.colStart, COLUMN($AX$2),_xlpm.colEnd, _xlpm.colStart + 1,ADDRESS(_xlpm.startRow, _xlpm.colStart) &amp; ":" &amp; ADDRESS(_xlpm.endRow, _xlpm.colEnd))</f>
        <v>$AX$27:$AY$29</v>
      </c>
      <c r="AF25" s="67"/>
      <c r="AG25" s="70" t="str">
        <f t="shared" si="13"/>
        <v/>
      </c>
      <c r="AH25" s="70" t="str">
        <f t="array" ref="AH25">IFERROR(TRIM(_xlfn.REGEXEXTRACT(AF25,"(\d.+[%]?$|[0-9]|[A-Z]+$)")),"")</f>
        <v/>
      </c>
      <c r="AI25" s="71" t="str">
        <f>IFERROR(VLOOKUP(AG25,'사용자가 입력할 시트'!$AF$2:$AG$60,2,FALSE),AG25)</f>
        <v/>
      </c>
      <c r="AJ25" s="72" t="str">
        <f t="array" ref="AJ25">IFERROR(TRIM(_xlfn.REGEXEXTRACT(AH25,"(\d+[%]?$|[A-Z]+$)")),"")</f>
        <v/>
      </c>
      <c r="AK25" s="67"/>
      <c r="AL25" s="70" t="str">
        <f t="shared" si="14"/>
        <v/>
      </c>
      <c r="AM25" s="70" t="str">
        <f t="array" ref="AM25">IFERROR(TRIM(_xlfn.REGEXEXTRACT(AK25,"(\d.+[%]?$|[0-9]|[A-Z]+$)")),"")</f>
        <v/>
      </c>
      <c r="AN25" s="71" t="str">
        <f>IFERROR(VLOOKUP(AL25,'사용자가 입력할 시트'!$AF$2:$AG$60,2,FALSE),AL25)</f>
        <v/>
      </c>
      <c r="AO25" s="72" t="str">
        <f t="array" ref="AO25">IFERROR(TRIM(_xlfn.REGEXEXTRACT(AM25,"(\d+[%]?$|[A-Z]+$)")),"")</f>
        <v/>
      </c>
      <c r="AP25" s="67"/>
      <c r="AQ25" s="70" t="str">
        <f t="shared" si="15"/>
        <v/>
      </c>
      <c r="AR25" s="70" t="str">
        <f t="array" ref="AR25">IFERROR(TRIM(_xlfn.REGEXEXTRACT(AP25,"(\d.+[%]?$|[0-9]|[A-Z]+$)")),"")</f>
        <v/>
      </c>
      <c r="AS25" s="71" t="str">
        <f>IFERROR(VLOOKUP(AQ25,'사용자가 입력할 시트'!$AF$2:$AG$60,2,FALSE),AQ25)</f>
        <v/>
      </c>
      <c r="AT25" s="72" t="str">
        <f t="array" ref="AT25">IFERROR(TRIM(_xlfn.REGEXEXTRACT(AR25,"(\d+[%]?$|[A-Z]+$)")),"")</f>
        <v/>
      </c>
      <c r="AU25" s="67"/>
      <c r="AV25" s="70" t="str">
        <f t="shared" si="16"/>
        <v/>
      </c>
      <c r="AW25" s="70" t="str">
        <f t="array" ref="AW25">IFERROR(TRIM(_xlfn.REGEXEXTRACT(AU25,"(\d.+[%]?$|[0-9]|[A-Z]+$)")),"")</f>
        <v/>
      </c>
      <c r="AX25" s="71" t="str">
        <f>IFERROR(VLOOKUP(AV25,'사용자가 입력할 시트'!$AF$2:$AG$60,2,FALSE),AV25)</f>
        <v/>
      </c>
      <c r="AY25" s="72" t="str">
        <f t="array" ref="AY25">IFERROR(TRIM(_xlfn.REGEXEXTRACT(AW25,"(\d+[%]?$|[A-Z]+$)")),"")</f>
        <v/>
      </c>
      <c r="AZ25" s="67"/>
      <c r="BA25" s="70" t="str">
        <f t="shared" si="17"/>
        <v/>
      </c>
      <c r="BB25" s="70" t="str">
        <f t="array" ref="BB25">IFERROR(TRIM(_xlfn.REGEXEXTRACT(AZ25,"(\d.+[%]?$|[0-9]|[A-Z]+$)")),"")</f>
        <v/>
      </c>
      <c r="BC25" s="71" t="str">
        <f>IFERROR(VLOOKUP(BA25,'사용자가 입력할 시트'!$AF$2:$AG$60,2,FALSE),BA25)</f>
        <v/>
      </c>
      <c r="BD25" s="72" t="str">
        <f t="array" ref="BD25">IFERROR(TRIM(_xlfn.REGEXEXTRACT(BB25,"(\d+[%]?$|[A-Z]+$)")),"")</f>
        <v/>
      </c>
      <c r="BE25" s="67"/>
      <c r="BF25" s="70" t="str">
        <f t="shared" si="18"/>
        <v/>
      </c>
      <c r="BG25" s="70" t="str">
        <f t="array" ref="BG25">IFERROR(TRIM(_xlfn.REGEXEXTRACT(BE25,"(\d.+[%]?$|[0-9]|[A-Z]+$)")),"")</f>
        <v/>
      </c>
      <c r="BH25" s="71" t="str">
        <f>IFERROR(VLOOKUP(BF25,'사용자가 입력할 시트'!$AF$2:$AG$60,2,FALSE),BF25)</f>
        <v/>
      </c>
      <c r="BI25" s="72" t="str">
        <f t="array" ref="BI25">IFERROR(TRIM(_xlfn.REGEXEXTRACT(BG25,"(\d+[%]?$|[A-Z]+$)")),"")</f>
        <v/>
      </c>
      <c r="BJ25" s="67"/>
      <c r="BK25" s="70" t="str">
        <f t="shared" si="19"/>
        <v/>
      </c>
      <c r="BL25" s="70" t="str">
        <f t="array" ref="BL25">IFERROR(TRIM(_xlfn.REGEXEXTRACT(BJ25,"(\d.+[%]?$|[0-9]|[A-Z]+$)")),"")</f>
        <v/>
      </c>
      <c r="BM25" s="71" t="str">
        <f>IFERROR(VLOOKUP(BK25,'사용자가 입력할 시트'!$AF$2:$AG$60,2,FALSE),BK25)</f>
        <v/>
      </c>
      <c r="BN25" s="72" t="str">
        <f t="array" ref="BN25">IFERROR(TRIM(_xlfn.REGEXEXTRACT(BL25,"(\d+[%]?$|[A-Z]+$)")),"")</f>
        <v/>
      </c>
      <c r="BO25" s="67"/>
      <c r="BP25" s="70" t="str">
        <f t="shared" si="20"/>
        <v/>
      </c>
      <c r="BQ25" s="70" t="str">
        <f t="array" ref="BQ25">IFERROR(TRIM(_xlfn.REGEXEXTRACT(BO25,"(\d.+[%]?$|[0-9]|[A-Z]+$)")),"")</f>
        <v/>
      </c>
      <c r="BR25" s="71" t="str">
        <f>IFERROR(VLOOKUP(BP25,'사용자가 입력할 시트'!$AF$2:$AG$60,2,FALSE),BP25)</f>
        <v/>
      </c>
      <c r="BS25" s="72" t="str">
        <f t="array" ref="BS25">IFERROR(TRIM(_xlfn.REGEXEXTRACT(BQ25,"(\d+[%]?$|[A-Z]+$)")),"")</f>
        <v/>
      </c>
      <c r="BT25" s="67"/>
      <c r="BU25" s="70" t="str">
        <f t="shared" si="21"/>
        <v/>
      </c>
      <c r="BV25" s="70" t="str">
        <f t="array" ref="BV25">IFERROR(TRIM(_xlfn.REGEXEXTRACT(BT25,"(\d.+[%]?$|[0-9]|[A-Z]+$)")),"")</f>
        <v/>
      </c>
      <c r="BW25" s="71" t="str">
        <f>IFERROR(VLOOKUP(BU25,'사용자가 입력할 시트'!$AF$2:$AG$60,2,FALSE),BU25)</f>
        <v/>
      </c>
      <c r="BX25" s="72" t="str">
        <f t="array" ref="BX25">IFERROR(TRIM(_xlfn.REGEXEXTRACT(BV25,"(\d+[%]?$|[A-Z]+$)")),"")</f>
        <v/>
      </c>
      <c r="BY25" s="67"/>
      <c r="BZ25" s="70" t="str">
        <f t="shared" si="22"/>
        <v/>
      </c>
      <c r="CA25" s="70" t="str">
        <f t="array" ref="CA25">IFERROR(TRIM(_xlfn.REGEXEXTRACT(BY25,"(\d.+[%]?$|[0-9]|[A-Z]+$)")),"")</f>
        <v/>
      </c>
      <c r="CB25" s="71" t="str">
        <f>IFERROR(VLOOKUP(BZ25,'사용자가 입력할 시트'!$AF$2:$AG$60,2,FALSE),BZ25)</f>
        <v/>
      </c>
      <c r="CC25" s="72" t="str">
        <f t="array" ref="CC25">IFERROR(TRIM(_xlfn.REGEXEXTRACT(CA25,"(\d+[%]?$|[A-Z]+$)")),"")</f>
        <v/>
      </c>
    </row>
    <row r="26" spans="2:81">
      <c r="B26" s="116" t="s">
        <v>165</v>
      </c>
      <c r="C26" s="100" t="s">
        <v>24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4"/>
      <c r="Q26" s="15"/>
      <c r="W26" s="2" t="str">
        <f t="shared" ca="1" si="10"/>
        <v>SS</v>
      </c>
      <c r="X26" s="2" t="str">
        <f t="shared" ca="1" si="11"/>
        <v>D</v>
      </c>
      <c r="Y26" s="2" t="str">
        <f t="shared" ca="1" si="12"/>
        <v>B</v>
      </c>
      <c r="Z26" s="42" t="str">
        <f t="shared" ref="Z26" ca="1" si="40">IF(W26="","",$W$4&amp;" :"&amp;W26&amp;IF(W26=W27,"","("&amp;W27&amp;")"))</f>
        <v>시가 :SS()</v>
      </c>
      <c r="AC26" s="4" t="s">
        <v>186</v>
      </c>
      <c r="AD26" s="4" t="str">
        <f>_xlfn.LET(_xlpm.titleCell, MATCH($AC$26, AX:AX, 0),_xlpm.nextTitleCell, IFERROR(_xlfn.AGGREGATE(15, 6, ROW($AX$2:$AX$100)/(LEFT($AX$2:$AX$100,1)="≪")/(ROW($AX$2:$AX$100)&gt;_xlpm.titleCell), 1), ROWS(AX:AX)+1),_xlpm.startRow, _xlpm.titleCell + 1,_xlpm.endRow, _xlpm.nextTitleCell - 1,_xlpm.colStart, COLUMN($AX$2),_xlpm.colEnd, _xlpm.colStart + 1,ADDRESS(_xlpm.startRow, _xlpm.colStart) &amp; ":" &amp; ADDRESS(_xlpm.endRow, _xlpm.colEnd))</f>
        <v>$AX$31:$AY$34</v>
      </c>
      <c r="AF26" s="67" t="s">
        <v>142</v>
      </c>
      <c r="AG26" s="70" t="str">
        <f t="shared" si="13"/>
        <v>≪★5 / 90레벨≫</v>
      </c>
      <c r="AH26" s="70" t="str">
        <f t="array" ref="AH26">IFERROR(TRIM(_xlfn.REGEXEXTRACT(AF26,"(\d.+[%]?$|[0-9]|[A-Z]+$)")),"")</f>
        <v>5 / 90레벨≫</v>
      </c>
      <c r="AI26" s="71" t="str">
        <f>IFERROR(VLOOKUP(AG26,'사용자가 입력할 시트'!$AF$2:$AG$60,2,FALSE),AG26)</f>
        <v>≪★5 / 90레벨≫</v>
      </c>
      <c r="AJ26" s="72" t="str">
        <f t="array" ref="AJ26">IFERROR(TRIM(_xlfn.REGEXEXTRACT(AH26,"(\d+[%]?$|[A-Z]+$)")),"")</f>
        <v/>
      </c>
      <c r="AK26" s="67" t="s">
        <v>142</v>
      </c>
      <c r="AL26" s="70" t="str">
        <f t="shared" si="14"/>
        <v>≪★5 / 90레벨≫</v>
      </c>
      <c r="AM26" s="70" t="str">
        <f t="array" ref="AM26">IFERROR(TRIM(_xlfn.REGEXEXTRACT(AK26,"(\d.+[%]?$|[0-9]|[A-Z]+$)")),"")</f>
        <v>5 / 90레벨≫</v>
      </c>
      <c r="AN26" s="71" t="str">
        <f>IFERROR(VLOOKUP(AL26,'사용자가 입력할 시트'!$AF$2:$AG$60,2,FALSE),AL26)</f>
        <v>≪★5 / 90레벨≫</v>
      </c>
      <c r="AO26" s="72" t="str">
        <f t="array" ref="AO26">IFERROR(TRIM(_xlfn.REGEXEXTRACT(AM26,"(\d+[%]?$|[A-Z]+$)")),"")</f>
        <v/>
      </c>
      <c r="AP26" s="67" t="s">
        <v>142</v>
      </c>
      <c r="AQ26" s="70" t="str">
        <f t="shared" si="15"/>
        <v>≪★5 / 90레벨≫</v>
      </c>
      <c r="AR26" s="70" t="str">
        <f t="array" ref="AR26">IFERROR(TRIM(_xlfn.REGEXEXTRACT(AP26,"(\d.+[%]?$|[0-9]|[A-Z]+$)")),"")</f>
        <v>5 / 90레벨≫</v>
      </c>
      <c r="AS26" s="71" t="str">
        <f>IFERROR(VLOOKUP(AQ26,'사용자가 입력할 시트'!$AF$2:$AG$60,2,FALSE),AQ26)</f>
        <v>≪★5 / 90레벨≫</v>
      </c>
      <c r="AT26" s="72" t="str">
        <f t="array" ref="AT26">IFERROR(TRIM(_xlfn.REGEXEXTRACT(AR26,"(\d+[%]?$|[A-Z]+$)")),"")</f>
        <v/>
      </c>
      <c r="AU26" s="67" t="s">
        <v>141</v>
      </c>
      <c r="AV26" s="70" t="str">
        <f t="shared" si="16"/>
        <v>≪고유무기 1레벨≫</v>
      </c>
      <c r="AW26" s="70" t="str">
        <f t="array" ref="AW26">IFERROR(TRIM(_xlfn.REGEXEXTRACT(AU26,"(\d.+[%]?$|[0-9]|[A-Z]+$)")),"")</f>
        <v>1레벨≫</v>
      </c>
      <c r="AX26" s="71" t="str">
        <f>IFERROR(VLOOKUP(AV26,'사용자가 입력할 시트'!$AF$2:$AG$60,2,FALSE),AV26)</f>
        <v>≪고유무기 1레벨≫</v>
      </c>
      <c r="AY26" s="72" t="str">
        <f t="array" ref="AY26">IFERROR(TRIM(_xlfn.REGEXEXTRACT(AW26,"(\d+[%]?$|[A-Z]+$)")),"")</f>
        <v/>
      </c>
      <c r="AZ26" s="67" t="s">
        <v>141</v>
      </c>
      <c r="BA26" s="70" t="str">
        <f t="shared" si="17"/>
        <v>≪고유무기 1레벨≫</v>
      </c>
      <c r="BB26" s="70" t="str">
        <f t="array" ref="BB26">IFERROR(TRIM(_xlfn.REGEXEXTRACT(AZ26,"(\d.+[%]?$|[0-9]|[A-Z]+$)")),"")</f>
        <v>1레벨≫</v>
      </c>
      <c r="BC26" s="71" t="str">
        <f>IFERROR(VLOOKUP(BA26,'사용자가 입력할 시트'!$AF$2:$AG$60,2,FALSE),BA26)</f>
        <v>≪고유무기 1레벨≫</v>
      </c>
      <c r="BD26" s="72" t="str">
        <f t="array" ref="BD26">IFERROR(TRIM(_xlfn.REGEXEXTRACT(BB26,"(\d+[%]?$|[A-Z]+$)")),"")</f>
        <v/>
      </c>
      <c r="BE26" s="67" t="s">
        <v>141</v>
      </c>
      <c r="BF26" s="70" t="str">
        <f t="shared" si="18"/>
        <v>≪고유무기 1레벨≫</v>
      </c>
      <c r="BG26" s="70" t="str">
        <f t="array" ref="BG26">IFERROR(TRIM(_xlfn.REGEXEXTRACT(BE26,"(\d.+[%]?$|[0-9]|[A-Z]+$)")),"")</f>
        <v>1레벨≫</v>
      </c>
      <c r="BH26" s="71" t="str">
        <f>IFERROR(VLOOKUP(BF26,'사용자가 입력할 시트'!$AF$2:$AG$60,2,FALSE),BF26)</f>
        <v>≪고유무기 1레벨≫</v>
      </c>
      <c r="BI26" s="72" t="str">
        <f t="array" ref="BI26">IFERROR(TRIM(_xlfn.REGEXEXTRACT(BG26,"(\d+[%]?$|[A-Z]+$)")),"")</f>
        <v/>
      </c>
      <c r="BJ26" s="67" t="s">
        <v>141</v>
      </c>
      <c r="BK26" s="70" t="str">
        <f t="shared" si="19"/>
        <v>≪고유무기 1레벨≫</v>
      </c>
      <c r="BL26" s="70" t="str">
        <f t="array" ref="BL26">IFERROR(TRIM(_xlfn.REGEXEXTRACT(BJ26,"(\d.+[%]?$|[0-9]|[A-Z]+$)")),"")</f>
        <v>1레벨≫</v>
      </c>
      <c r="BM26" s="71" t="str">
        <f>IFERROR(VLOOKUP(BK26,'사용자가 입력할 시트'!$AF$2:$AG$60,2,FALSE),BK26)</f>
        <v>≪고유무기 1레벨≫</v>
      </c>
      <c r="BN26" s="72" t="str">
        <f t="array" ref="BN26">IFERROR(TRIM(_xlfn.REGEXEXTRACT(BL26,"(\d+[%]?$|[A-Z]+$)")),"")</f>
        <v/>
      </c>
      <c r="BO26" s="67" t="s">
        <v>141</v>
      </c>
      <c r="BP26" s="70" t="str">
        <f t="shared" si="20"/>
        <v>≪고유무기 1레벨≫</v>
      </c>
      <c r="BQ26" s="70" t="str">
        <f t="array" ref="BQ26">IFERROR(TRIM(_xlfn.REGEXEXTRACT(BO26,"(\d.+[%]?$|[0-9]|[A-Z]+$)")),"")</f>
        <v>1레벨≫</v>
      </c>
      <c r="BR26" s="71" t="str">
        <f>IFERROR(VLOOKUP(BP26,'사용자가 입력할 시트'!$AF$2:$AG$60,2,FALSE),BP26)</f>
        <v>≪고유무기 1레벨≫</v>
      </c>
      <c r="BS26" s="72" t="str">
        <f t="array" ref="BS26">IFERROR(TRIM(_xlfn.REGEXEXTRACT(BQ26,"(\d+[%]?$|[A-Z]+$)")),"")</f>
        <v/>
      </c>
      <c r="BT26" s="67" t="s">
        <v>141</v>
      </c>
      <c r="BU26" s="70" t="str">
        <f t="shared" si="21"/>
        <v>≪고유무기 1레벨≫</v>
      </c>
      <c r="BV26" s="70" t="str">
        <f t="array" ref="BV26">IFERROR(TRIM(_xlfn.REGEXEXTRACT(BT26,"(\d.+[%]?$|[0-9]|[A-Z]+$)")),"")</f>
        <v>1레벨≫</v>
      </c>
      <c r="BW26" s="71" t="str">
        <f>IFERROR(VLOOKUP(BU26,'사용자가 입력할 시트'!$AF$2:$AG$60,2,FALSE),BU26)</f>
        <v>≪고유무기 1레벨≫</v>
      </c>
      <c r="BX26" s="72" t="str">
        <f t="array" ref="BX26">IFERROR(TRIM(_xlfn.REGEXEXTRACT(BV26,"(\d+[%]?$|[A-Z]+$)")),"")</f>
        <v/>
      </c>
      <c r="BY26" s="67" t="s">
        <v>141</v>
      </c>
      <c r="BZ26" s="70" t="str">
        <f t="shared" si="22"/>
        <v>≪고유무기 1레벨≫</v>
      </c>
      <c r="CA26" s="70" t="str">
        <f t="array" ref="CA26">IFERROR(TRIM(_xlfn.REGEXEXTRACT(BY26,"(\d.+[%]?$|[0-9]|[A-Z]+$)")),"")</f>
        <v>1레벨≫</v>
      </c>
      <c r="CB26" s="71" t="str">
        <f>IFERROR(VLOOKUP(BZ26,'사용자가 입력할 시트'!$AF$2:$AG$60,2,FALSE),BZ26)</f>
        <v>≪고유무기 1레벨≫</v>
      </c>
      <c r="CC26" s="72" t="str">
        <f t="array" ref="CC26">IFERROR(TRIM(_xlfn.REGEXEXTRACT(CA26,"(\d+[%]?$|[A-Z]+$)")),"")</f>
        <v/>
      </c>
    </row>
    <row r="27" spans="2:81">
      <c r="B27" s="112"/>
      <c r="C27" s="101"/>
      <c r="D27" s="16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9"/>
      <c r="Q27" s="58"/>
      <c r="W27" s="2" t="str">
        <f t="shared" ca="1" si="10"/>
        <v/>
      </c>
      <c r="X27" s="2" t="str">
        <f t="shared" ca="1" si="11"/>
        <v/>
      </c>
      <c r="Y27" s="2" t="str">
        <f t="shared" ca="1" si="12"/>
        <v/>
      </c>
      <c r="Z27" s="42" t="str">
        <f t="shared" ref="Z27" ca="1" si="41">IF(X26="","",$X$4&amp;" :"&amp;X26&amp;IF(X26=X27,"","("&amp;X27&amp;")"))</f>
        <v>실내 :D()</v>
      </c>
      <c r="AC27" s="4" t="s">
        <v>184</v>
      </c>
      <c r="AD27" s="4" t="str">
        <f>_xlfn.LET(_xlpm.titleCell, MATCH($AC$27, AX:AX, 0),_xlpm.nextTitleCell, IFERROR(_xlfn.AGGREGATE(15, 6, ROW($AX$2:$AX$100)/(LEFT($AX$2:$AX$100,1)="≪")/(ROW($AX$2:$AX$100)&gt;_xlpm.titleCell), 1), ROWS(AX:AX)+1),_xlpm.startRow, _xlpm.titleCell + 1,_xlpm.endRow, _xlpm.nextTitleCell - 1,_xlpm.colStart, COLUMN($AX$2),_xlpm.colEnd, _xlpm.colStart + 1,ADDRESS(_xlpm.startRow, _xlpm.colStart) &amp; ":" &amp; ADDRESS(_xlpm.endRow, _xlpm.colEnd))</f>
        <v>$AX$36:$AY$55</v>
      </c>
      <c r="AF27" s="67" t="s">
        <v>128</v>
      </c>
      <c r="AG27" s="70" t="str">
        <f t="shared" si="13"/>
        <v>HP</v>
      </c>
      <c r="AH27" s="70" t="str">
        <f t="array" ref="AH27">IFERROR(TRIM(_xlfn.REGEXEXTRACT(AF27,"(\d.+[%]?$|[0-9]|[A-Z]+$)")),"")</f>
        <v>44302</v>
      </c>
      <c r="AI27" s="71" t="str">
        <f>IFERROR(VLOOKUP(AG27,'사용자가 입력할 시트'!$AF$2:$AG$60,2,FALSE),AG27)</f>
        <v>체력</v>
      </c>
      <c r="AJ27" s="72" t="str">
        <f t="array" ref="AJ27">IFERROR(TRIM(_xlfn.REGEXEXTRACT(AH27,"(\d+[%]?$|[A-Z]+$)")),"")</f>
        <v>44302</v>
      </c>
      <c r="AK27" s="67" t="s">
        <v>128</v>
      </c>
      <c r="AL27" s="70" t="str">
        <f t="shared" si="14"/>
        <v>HP</v>
      </c>
      <c r="AM27" s="70" t="str">
        <f t="array" ref="AM27">IFERROR(TRIM(_xlfn.REGEXEXTRACT(AK27,"(\d.+[%]?$|[0-9]|[A-Z]+$)")),"")</f>
        <v>44302</v>
      </c>
      <c r="AN27" s="71" t="str">
        <f>IFERROR(VLOOKUP(AL27,'사용자가 입력할 시트'!$AF$2:$AG$60,2,FALSE),AL27)</f>
        <v>체력</v>
      </c>
      <c r="AO27" s="72" t="str">
        <f t="array" ref="AO27">IFERROR(TRIM(_xlfn.REGEXEXTRACT(AM27,"(\d+[%]?$|[A-Z]+$)")),"")</f>
        <v>44302</v>
      </c>
      <c r="AP27" s="67" t="s">
        <v>128</v>
      </c>
      <c r="AQ27" s="70" t="str">
        <f t="shared" si="15"/>
        <v>HP</v>
      </c>
      <c r="AR27" s="70" t="str">
        <f t="array" ref="AR27">IFERROR(TRIM(_xlfn.REGEXEXTRACT(AP27,"(\d.+[%]?$|[0-9]|[A-Z]+$)")),"")</f>
        <v>44302</v>
      </c>
      <c r="AS27" s="71" t="str">
        <f>IFERROR(VLOOKUP(AQ27,'사용자가 입력할 시트'!$AF$2:$AG$60,2,FALSE),AQ27)</f>
        <v>체력</v>
      </c>
      <c r="AT27" s="72" t="str">
        <f t="array" ref="AT27">IFERROR(TRIM(_xlfn.REGEXEXTRACT(AR27,"(\d+[%]?$|[A-Z]+$)")),"")</f>
        <v>44302</v>
      </c>
      <c r="AU27" s="67" t="s">
        <v>125</v>
      </c>
      <c r="AV27" s="70" t="str">
        <f t="shared" si="16"/>
        <v>攻撃力</v>
      </c>
      <c r="AW27" s="70" t="str">
        <f t="array" ref="AW27">IFERROR(TRIM(_xlfn.REGEXEXTRACT(AU27,"(\d.+[%]?$|[0-9]|[A-Z]+$)")),"")</f>
        <v>134</v>
      </c>
      <c r="AX27" s="71" t="str">
        <f>IFERROR(VLOOKUP(AV27,'사용자가 입력할 시트'!$AF$2:$AG$60,2,FALSE),AV27)</f>
        <v>공격력</v>
      </c>
      <c r="AY27" s="72" t="str">
        <f t="array" ref="AY27">IFERROR(TRIM(_xlfn.REGEXEXTRACT(AW27,"(\d+[%]?$|[A-Z]+$)")),"")</f>
        <v>134</v>
      </c>
      <c r="AZ27" s="67" t="s">
        <v>125</v>
      </c>
      <c r="BA27" s="70" t="str">
        <f t="shared" si="17"/>
        <v>攻撃力</v>
      </c>
      <c r="BB27" s="70" t="str">
        <f t="array" ref="BB27">IFERROR(TRIM(_xlfn.REGEXEXTRACT(AZ27,"(\d.+[%]?$|[0-9]|[A-Z]+$)")),"")</f>
        <v>134</v>
      </c>
      <c r="BC27" s="71" t="str">
        <f>IFERROR(VLOOKUP(BA27,'사용자가 입력할 시트'!$AF$2:$AG$60,2,FALSE),BA27)</f>
        <v>공격력</v>
      </c>
      <c r="BD27" s="72" t="str">
        <f t="array" ref="BD27">IFERROR(TRIM(_xlfn.REGEXEXTRACT(BB27,"(\d+[%]?$|[A-Z]+$)")),"")</f>
        <v>134</v>
      </c>
      <c r="BE27" s="67" t="s">
        <v>125</v>
      </c>
      <c r="BF27" s="70" t="str">
        <f t="shared" si="18"/>
        <v>攻撃力</v>
      </c>
      <c r="BG27" s="70" t="str">
        <f t="array" ref="BG27">IFERROR(TRIM(_xlfn.REGEXEXTRACT(BE27,"(\d.+[%]?$|[0-9]|[A-Z]+$)")),"")</f>
        <v>134</v>
      </c>
      <c r="BH27" s="71" t="str">
        <f>IFERROR(VLOOKUP(BF27,'사용자가 입력할 시트'!$AF$2:$AG$60,2,FALSE),BF27)</f>
        <v>공격력</v>
      </c>
      <c r="BI27" s="72" t="str">
        <f t="array" ref="BI27">IFERROR(TRIM(_xlfn.REGEXEXTRACT(BG27,"(\d+[%]?$|[A-Z]+$)")),"")</f>
        <v>134</v>
      </c>
      <c r="BJ27" s="67" t="s">
        <v>125</v>
      </c>
      <c r="BK27" s="70" t="str">
        <f t="shared" si="19"/>
        <v>攻撃力</v>
      </c>
      <c r="BL27" s="70" t="str">
        <f t="array" ref="BL27">IFERROR(TRIM(_xlfn.REGEXEXTRACT(BJ27,"(\d.+[%]?$|[0-9]|[A-Z]+$)")),"")</f>
        <v>134</v>
      </c>
      <c r="BM27" s="71" t="str">
        <f>IFERROR(VLOOKUP(BK27,'사용자가 입력할 시트'!$AF$2:$AG$60,2,FALSE),BK27)</f>
        <v>공격력</v>
      </c>
      <c r="BN27" s="72" t="str">
        <f t="array" ref="BN27">IFERROR(TRIM(_xlfn.REGEXEXTRACT(BL27,"(\d+[%]?$|[A-Z]+$)")),"")</f>
        <v>134</v>
      </c>
      <c r="BO27" s="67" t="s">
        <v>125</v>
      </c>
      <c r="BP27" s="70" t="str">
        <f t="shared" si="20"/>
        <v>攻撃力</v>
      </c>
      <c r="BQ27" s="70" t="str">
        <f t="array" ref="BQ27">IFERROR(TRIM(_xlfn.REGEXEXTRACT(BO27,"(\d.+[%]?$|[0-9]|[A-Z]+$)")),"")</f>
        <v>134</v>
      </c>
      <c r="BR27" s="71" t="str">
        <f>IFERROR(VLOOKUP(BP27,'사용자가 입력할 시트'!$AF$2:$AG$60,2,FALSE),BP27)</f>
        <v>공격력</v>
      </c>
      <c r="BS27" s="72" t="str">
        <f t="array" ref="BS27">IFERROR(TRIM(_xlfn.REGEXEXTRACT(BQ27,"(\d+[%]?$|[A-Z]+$)")),"")</f>
        <v>134</v>
      </c>
      <c r="BT27" s="67" t="s">
        <v>125</v>
      </c>
      <c r="BU27" s="70" t="str">
        <f t="shared" si="21"/>
        <v>攻撃力</v>
      </c>
      <c r="BV27" s="70" t="str">
        <f t="array" ref="BV27">IFERROR(TRIM(_xlfn.REGEXEXTRACT(BT27,"(\d.+[%]?$|[0-9]|[A-Z]+$)")),"")</f>
        <v>134</v>
      </c>
      <c r="BW27" s="71" t="str">
        <f>IFERROR(VLOOKUP(BU27,'사용자가 입력할 시트'!$AF$2:$AG$60,2,FALSE),BU27)</f>
        <v>공격력</v>
      </c>
      <c r="BX27" s="72" t="str">
        <f t="array" ref="BX27">IFERROR(TRIM(_xlfn.REGEXEXTRACT(BV27,"(\d+[%]?$|[A-Z]+$)")),"")</f>
        <v>134</v>
      </c>
      <c r="BY27" s="67" t="s">
        <v>125</v>
      </c>
      <c r="BZ27" s="70" t="str">
        <f t="shared" si="22"/>
        <v>攻撃力</v>
      </c>
      <c r="CA27" s="70" t="str">
        <f t="array" ref="CA27">IFERROR(TRIM(_xlfn.REGEXEXTRACT(BY27,"(\d.+[%]?$|[0-9]|[A-Z]+$)")),"")</f>
        <v>134</v>
      </c>
      <c r="CB27" s="71" t="str">
        <f>IFERROR(VLOOKUP(BZ27,'사용자가 입력할 시트'!$AF$2:$AG$60,2,FALSE),BZ27)</f>
        <v>공격력</v>
      </c>
      <c r="CC27" s="72" t="str">
        <f t="array" ref="CC27">IFERROR(TRIM(_xlfn.REGEXEXTRACT(CA27,"(\d+[%]?$|[A-Z]+$)")),"")</f>
        <v>134</v>
      </c>
    </row>
    <row r="28" spans="2:81" ht="16.5" customHeight="1">
      <c r="B28" s="112"/>
      <c r="C28" s="102" t="s">
        <v>173</v>
      </c>
      <c r="D28" s="22"/>
      <c r="E28" s="23"/>
      <c r="F28" s="23"/>
      <c r="G28" s="23"/>
      <c r="H28" s="22"/>
      <c r="I28" s="23"/>
      <c r="J28" s="23"/>
      <c r="K28" s="23"/>
      <c r="L28" s="23"/>
      <c r="M28" s="23"/>
      <c r="N28" s="23"/>
      <c r="O28" s="23"/>
      <c r="P28" s="24"/>
      <c r="Q28" s="59"/>
      <c r="W28" s="2" t="str">
        <f t="shared" ca="1" si="10"/>
        <v/>
      </c>
      <c r="X28" s="2" t="str">
        <f t="shared" ca="1" si="11"/>
        <v/>
      </c>
      <c r="Y28" s="2" t="str">
        <f t="shared" ca="1" si="12"/>
        <v/>
      </c>
      <c r="Z28" s="42" t="str">
        <f t="shared" ref="Z28" ca="1" si="42">IF(Y26="","",$Y$4&amp;" :"&amp;Y26&amp;IF(Y26=Y27,"","("&amp;Y27&amp;")"))</f>
        <v>야외 :B()</v>
      </c>
      <c r="AC28" s="4" t="s">
        <v>192</v>
      </c>
      <c r="AD28" s="4" t="str">
        <f>_xlfn.LET(_xlpm.titleCell, MATCH($AC$28, AX:AX, 0),_xlpm.nextTitleCell, IFERROR(_xlfn.AGGREGATE(15, 6, ROW($AX$2:$AX$100)/(LEFT($AX$2:$AX$100,1)="≪")/(ROW($AX$2:$AX$100)&gt;_xlpm.titleCell), 1), ROWS(AX:AX)+1),_xlpm.startRow, _xlpm.titleCell + 1,_xlpm.endRow, _xlpm.nextTitleCell - 1,_xlpm.colStart, COLUMN($AX$2),_xlpm.colEnd, _xlpm.colStart + 1,ADDRESS(_xlpm.startRow, _xlpm.colStart) &amp; ":" &amp; ADDRESS(_xlpm.endRow, _xlpm.colEnd))</f>
        <v>$AX$57:$AY$59</v>
      </c>
      <c r="AF28" s="67" t="s">
        <v>83</v>
      </c>
      <c r="AG28" s="70" t="str">
        <f t="shared" si="13"/>
        <v>防御力</v>
      </c>
      <c r="AH28" s="70" t="str">
        <f t="array" ref="AH28">IFERROR(TRIM(_xlfn.REGEXEXTRACT(AF28,"(\d.+[%]?$|[0-9]|[A-Z]+$)")),"")</f>
        <v>104</v>
      </c>
      <c r="AI28" s="71" t="str">
        <f>IFERROR(VLOOKUP(AG28,'사용자가 입력할 시트'!$AF$2:$AG$60,2,FALSE),AG28)</f>
        <v>방어력</v>
      </c>
      <c r="AJ28" s="72" t="str">
        <f t="array" ref="AJ28">IFERROR(TRIM(_xlfn.REGEXEXTRACT(AH28,"(\d+[%]?$|[A-Z]+$)")),"")</f>
        <v>104</v>
      </c>
      <c r="AK28" s="67" t="s">
        <v>83</v>
      </c>
      <c r="AL28" s="70" t="str">
        <f t="shared" si="14"/>
        <v>防御力</v>
      </c>
      <c r="AM28" s="70" t="str">
        <f t="array" ref="AM28">IFERROR(TRIM(_xlfn.REGEXEXTRACT(AK28,"(\d.+[%]?$|[0-9]|[A-Z]+$)")),"")</f>
        <v>104</v>
      </c>
      <c r="AN28" s="71" t="str">
        <f>IFERROR(VLOOKUP(AL28,'사용자가 입력할 시트'!$AF$2:$AG$60,2,FALSE),AL28)</f>
        <v>방어력</v>
      </c>
      <c r="AO28" s="72" t="str">
        <f t="array" ref="AO28">IFERROR(TRIM(_xlfn.REGEXEXTRACT(AM28,"(\d+[%]?$|[A-Z]+$)")),"")</f>
        <v>104</v>
      </c>
      <c r="AP28" s="67" t="s">
        <v>83</v>
      </c>
      <c r="AQ28" s="70" t="str">
        <f t="shared" si="15"/>
        <v>防御力</v>
      </c>
      <c r="AR28" s="70" t="str">
        <f t="array" ref="AR28">IFERROR(TRIM(_xlfn.REGEXEXTRACT(AP28,"(\d.+[%]?$|[0-9]|[A-Z]+$)")),"")</f>
        <v>104</v>
      </c>
      <c r="AS28" s="71" t="str">
        <f>IFERROR(VLOOKUP(AQ28,'사용자가 입력할 시트'!$AF$2:$AG$60,2,FALSE),AQ28)</f>
        <v>방어력</v>
      </c>
      <c r="AT28" s="72" t="str">
        <f t="array" ref="AT28">IFERROR(TRIM(_xlfn.REGEXEXTRACT(AR28,"(\d+[%]?$|[A-Z]+$)")),"")</f>
        <v>104</v>
      </c>
      <c r="AU28" s="67" t="s">
        <v>93</v>
      </c>
      <c r="AV28" s="70" t="str">
        <f t="shared" si="16"/>
        <v>最大HP</v>
      </c>
      <c r="AW28" s="70" t="str">
        <f t="array" ref="AW28">IFERROR(TRIM(_xlfn.REGEXEXTRACT(AU28,"(\d.+[%]?$|[0-9]|[A-Z]+$)")),"")</f>
        <v>536</v>
      </c>
      <c r="AX28" s="71" t="str">
        <f>IFERROR(VLOOKUP(AV28,'사용자가 입력할 시트'!$AF$2:$AG$60,2,FALSE),AV28)</f>
        <v>체력</v>
      </c>
      <c r="AY28" s="72" t="str">
        <f t="array" ref="AY28">IFERROR(TRIM(_xlfn.REGEXEXTRACT(AW28,"(\d+[%]?$|[A-Z]+$)")),"")</f>
        <v>536</v>
      </c>
      <c r="AZ28" s="67" t="s">
        <v>93</v>
      </c>
      <c r="BA28" s="70" t="str">
        <f t="shared" si="17"/>
        <v>最大HP</v>
      </c>
      <c r="BB28" s="70" t="str">
        <f t="array" ref="BB28">IFERROR(TRIM(_xlfn.REGEXEXTRACT(AZ28,"(\d.+[%]?$|[0-9]|[A-Z]+$)")),"")</f>
        <v>536</v>
      </c>
      <c r="BC28" s="71" t="str">
        <f>IFERROR(VLOOKUP(BA28,'사용자가 입력할 시트'!$AF$2:$AG$60,2,FALSE),BA28)</f>
        <v>체력</v>
      </c>
      <c r="BD28" s="72" t="str">
        <f t="array" ref="BD28">IFERROR(TRIM(_xlfn.REGEXEXTRACT(BB28,"(\d+[%]?$|[A-Z]+$)")),"")</f>
        <v>536</v>
      </c>
      <c r="BE28" s="67" t="s">
        <v>93</v>
      </c>
      <c r="BF28" s="70" t="str">
        <f t="shared" si="18"/>
        <v>最大HP</v>
      </c>
      <c r="BG28" s="70" t="str">
        <f t="array" ref="BG28">IFERROR(TRIM(_xlfn.REGEXEXTRACT(BE28,"(\d.+[%]?$|[0-9]|[A-Z]+$)")),"")</f>
        <v>536</v>
      </c>
      <c r="BH28" s="71" t="str">
        <f>IFERROR(VLOOKUP(BF28,'사용자가 입력할 시트'!$AF$2:$AG$60,2,FALSE),BF28)</f>
        <v>체력</v>
      </c>
      <c r="BI28" s="72" t="str">
        <f t="array" ref="BI28">IFERROR(TRIM(_xlfn.REGEXEXTRACT(BG28,"(\d+[%]?$|[A-Z]+$)")),"")</f>
        <v>536</v>
      </c>
      <c r="BJ28" s="67" t="s">
        <v>93</v>
      </c>
      <c r="BK28" s="70" t="str">
        <f t="shared" si="19"/>
        <v>最大HP</v>
      </c>
      <c r="BL28" s="70" t="str">
        <f t="array" ref="BL28">IFERROR(TRIM(_xlfn.REGEXEXTRACT(BJ28,"(\d.+[%]?$|[0-9]|[A-Z]+$)")),"")</f>
        <v>536</v>
      </c>
      <c r="BM28" s="71" t="str">
        <f>IFERROR(VLOOKUP(BK28,'사용자가 입력할 시트'!$AF$2:$AG$60,2,FALSE),BK28)</f>
        <v>체력</v>
      </c>
      <c r="BN28" s="72" t="str">
        <f t="array" ref="BN28">IFERROR(TRIM(_xlfn.REGEXEXTRACT(BL28,"(\d+[%]?$|[A-Z]+$)")),"")</f>
        <v>536</v>
      </c>
      <c r="BO28" s="67" t="s">
        <v>93</v>
      </c>
      <c r="BP28" s="70" t="str">
        <f t="shared" si="20"/>
        <v>最大HP</v>
      </c>
      <c r="BQ28" s="70" t="str">
        <f t="array" ref="BQ28">IFERROR(TRIM(_xlfn.REGEXEXTRACT(BO28,"(\d.+[%]?$|[0-9]|[A-Z]+$)")),"")</f>
        <v>536</v>
      </c>
      <c r="BR28" s="71" t="str">
        <f>IFERROR(VLOOKUP(BP28,'사용자가 입력할 시트'!$AF$2:$AG$60,2,FALSE),BP28)</f>
        <v>체력</v>
      </c>
      <c r="BS28" s="72" t="str">
        <f t="array" ref="BS28">IFERROR(TRIM(_xlfn.REGEXEXTRACT(BQ28,"(\d+[%]?$|[A-Z]+$)")),"")</f>
        <v>536</v>
      </c>
      <c r="BT28" s="67" t="s">
        <v>93</v>
      </c>
      <c r="BU28" s="70" t="str">
        <f t="shared" si="21"/>
        <v>最大HP</v>
      </c>
      <c r="BV28" s="70" t="str">
        <f t="array" ref="BV28">IFERROR(TRIM(_xlfn.REGEXEXTRACT(BT28,"(\d.+[%]?$|[0-9]|[A-Z]+$)")),"")</f>
        <v>536</v>
      </c>
      <c r="BW28" s="71" t="str">
        <f>IFERROR(VLOOKUP(BU28,'사용자가 입력할 시트'!$AF$2:$AG$60,2,FALSE),BU28)</f>
        <v>체력</v>
      </c>
      <c r="BX28" s="72" t="str">
        <f t="array" ref="BX28">IFERROR(TRIM(_xlfn.REGEXEXTRACT(BV28,"(\d+[%]?$|[A-Z]+$)")),"")</f>
        <v>536</v>
      </c>
      <c r="BY28" s="67" t="s">
        <v>93</v>
      </c>
      <c r="BZ28" s="70" t="str">
        <f t="shared" si="22"/>
        <v>最大HP</v>
      </c>
      <c r="CA28" s="70" t="str">
        <f t="array" ref="CA28">IFERROR(TRIM(_xlfn.REGEXEXTRACT(BY28,"(\d.+[%]?$|[0-9]|[A-Z]+$)")),"")</f>
        <v>536</v>
      </c>
      <c r="CB28" s="71" t="str">
        <f>IFERROR(VLOOKUP(BZ28,'사용자가 입력할 시트'!$AF$2:$AG$60,2,FALSE),BZ28)</f>
        <v>체력</v>
      </c>
      <c r="CC28" s="72" t="str">
        <f t="array" ref="CC28">IFERROR(TRIM(_xlfn.REGEXEXTRACT(CA28,"(\d+[%]?$|[A-Z]+$)")),"")</f>
        <v>536</v>
      </c>
    </row>
    <row r="29" spans="2:81" ht="16.5" customHeight="1">
      <c r="B29" s="113"/>
      <c r="C29" s="101"/>
      <c r="D29" s="29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9"/>
      <c r="Q29" s="58"/>
      <c r="W29" s="2" t="str">
        <f t="shared" ca="1" si="10"/>
        <v>S</v>
      </c>
      <c r="X29" s="2" t="str">
        <f t="shared" ca="1" si="11"/>
        <v>D</v>
      </c>
      <c r="Y29" s="2" t="str">
        <f t="shared" ca="1" si="12"/>
        <v>B</v>
      </c>
      <c r="Z29" s="42" t="str">
        <f t="shared" ref="Z29" ca="1" si="43">IF(W29="","",$W$4&amp;" :"&amp;W29&amp;IF(W29=W30,"","("&amp;W30&amp;")"))</f>
        <v>시가 :S()</v>
      </c>
      <c r="AC29" s="4" t="s">
        <v>193</v>
      </c>
      <c r="AD29" s="4" t="str">
        <f>_xlfn.LET(_xlpm.titleCell, MATCH($AC$29, AX:AX, 0),_xlpm.nextTitleCell, IFERROR(_xlfn.AGGREGATE(15, 6, ROW($AX$2:$AX$100)/(LEFT($AX$2:$AX$100,1)="≪")/(ROW($AX$2:$AX$100)&gt;_xlpm.titleCell), 1), ROWS(AX:AX)+1),_xlpm.startRow, _xlpm.titleCell + 1,_xlpm.endRow, _xlpm.nextTitleCell - 1,_xlpm.colStart, COLUMN($AX$2),_xlpm.colEnd, _xlpm.colStart + 1,ADDRESS(_xlpm.startRow, _xlpm.colStart) &amp; ":" &amp; ADDRESS(_xlpm.endRow, _xlpm.colEnd))</f>
        <v>$AX$61:$AY$63</v>
      </c>
      <c r="AF29" s="67" t="s">
        <v>36</v>
      </c>
      <c r="AG29" s="70" t="str">
        <f t="shared" si="13"/>
        <v>命中値</v>
      </c>
      <c r="AH29" s="70" t="str">
        <f t="array" ref="AH29">IFERROR(TRIM(_xlfn.REGEXEXTRACT(AF29,"(\d.+[%]?$|[0-9]|[A-Z]+$)")),"")</f>
        <v>944</v>
      </c>
      <c r="AI29" s="71" t="str">
        <f>IFERROR(VLOOKUP(AG29,'사용자가 입력할 시트'!$AF$2:$AG$60,2,FALSE),AG29)</f>
        <v>명중 수치</v>
      </c>
      <c r="AJ29" s="72" t="str">
        <f t="array" ref="AJ29">IFERROR(TRIM(_xlfn.REGEXEXTRACT(AH29,"(\d+[%]?$|[A-Z]+$)")),"")</f>
        <v>944</v>
      </c>
      <c r="AK29" s="67" t="s">
        <v>36</v>
      </c>
      <c r="AL29" s="70" t="str">
        <f t="shared" si="14"/>
        <v>命中値</v>
      </c>
      <c r="AM29" s="70" t="str">
        <f t="array" ref="AM29">IFERROR(TRIM(_xlfn.REGEXEXTRACT(AK29,"(\d.+[%]?$|[0-9]|[A-Z]+$)")),"")</f>
        <v>944</v>
      </c>
      <c r="AN29" s="71" t="str">
        <f>IFERROR(VLOOKUP(AL29,'사용자가 입력할 시트'!$AF$2:$AG$60,2,FALSE),AL29)</f>
        <v>명중 수치</v>
      </c>
      <c r="AO29" s="72" t="str">
        <f t="array" ref="AO29">IFERROR(TRIM(_xlfn.REGEXEXTRACT(AM29,"(\d+[%]?$|[A-Z]+$)")),"")</f>
        <v>944</v>
      </c>
      <c r="AP29" s="67" t="s">
        <v>36</v>
      </c>
      <c r="AQ29" s="70" t="str">
        <f t="shared" si="15"/>
        <v>命中値</v>
      </c>
      <c r="AR29" s="70" t="str">
        <f t="array" ref="AR29">IFERROR(TRIM(_xlfn.REGEXEXTRACT(AP29,"(\d.+[%]?$|[0-9]|[A-Z]+$)")),"")</f>
        <v>944</v>
      </c>
      <c r="AS29" s="71" t="str">
        <f>IFERROR(VLOOKUP(AQ29,'사용자가 입력할 시트'!$AF$2:$AG$60,2,FALSE),AQ29)</f>
        <v>명중 수치</v>
      </c>
      <c r="AT29" s="72" t="str">
        <f t="array" ref="AT29">IFERROR(TRIM(_xlfn.REGEXEXTRACT(AR29,"(\d+[%]?$|[A-Z]+$)")),"")</f>
        <v>944</v>
      </c>
      <c r="AU29" s="67"/>
      <c r="AV29" s="70" t="str">
        <f t="shared" si="16"/>
        <v/>
      </c>
      <c r="AW29" s="70" t="str">
        <f t="array" ref="AW29">IFERROR(TRIM(_xlfn.REGEXEXTRACT(AU29,"(\d.+[%]?$|[0-9]|[A-Z]+$)")),"")</f>
        <v/>
      </c>
      <c r="AX29" s="71" t="str">
        <f>IFERROR(VLOOKUP(AV29,'사용자가 입력할 시트'!$AF$2:$AG$60,2,FALSE),AV29)</f>
        <v/>
      </c>
      <c r="AY29" s="72" t="str">
        <f t="array" ref="AY29">IFERROR(TRIM(_xlfn.REGEXEXTRACT(AW29,"(\d+[%]?$|[A-Z]+$)")),"")</f>
        <v/>
      </c>
      <c r="AZ29" s="67"/>
      <c r="BA29" s="70" t="str">
        <f t="shared" si="17"/>
        <v/>
      </c>
      <c r="BB29" s="70" t="str">
        <f t="array" ref="BB29">IFERROR(TRIM(_xlfn.REGEXEXTRACT(AZ29,"(\d.+[%]?$|[0-9]|[A-Z]+$)")),"")</f>
        <v/>
      </c>
      <c r="BC29" s="71" t="str">
        <f>IFERROR(VLOOKUP(BA29,'사용자가 입력할 시트'!$AF$2:$AG$60,2,FALSE),BA29)</f>
        <v/>
      </c>
      <c r="BD29" s="72" t="str">
        <f t="array" ref="BD29">IFERROR(TRIM(_xlfn.REGEXEXTRACT(BB29,"(\d+[%]?$|[A-Z]+$)")),"")</f>
        <v/>
      </c>
      <c r="BE29" s="67"/>
      <c r="BF29" s="70" t="str">
        <f t="shared" si="18"/>
        <v/>
      </c>
      <c r="BG29" s="70" t="str">
        <f t="array" ref="BG29">IFERROR(TRIM(_xlfn.REGEXEXTRACT(BE29,"(\d.+[%]?$|[0-9]|[A-Z]+$)")),"")</f>
        <v/>
      </c>
      <c r="BH29" s="71" t="str">
        <f>IFERROR(VLOOKUP(BF29,'사용자가 입력할 시트'!$AF$2:$AG$60,2,FALSE),BF29)</f>
        <v/>
      </c>
      <c r="BI29" s="72" t="str">
        <f t="array" ref="BI29">IFERROR(TRIM(_xlfn.REGEXEXTRACT(BG29,"(\d+[%]?$|[A-Z]+$)")),"")</f>
        <v/>
      </c>
      <c r="BJ29" s="67"/>
      <c r="BK29" s="70" t="str">
        <f t="shared" si="19"/>
        <v/>
      </c>
      <c r="BL29" s="70" t="str">
        <f t="array" ref="BL29">IFERROR(TRIM(_xlfn.REGEXEXTRACT(BJ29,"(\d.+[%]?$|[0-9]|[A-Z]+$)")),"")</f>
        <v/>
      </c>
      <c r="BM29" s="71" t="str">
        <f>IFERROR(VLOOKUP(BK29,'사용자가 입력할 시트'!$AF$2:$AG$60,2,FALSE),BK29)</f>
        <v/>
      </c>
      <c r="BN29" s="72" t="str">
        <f t="array" ref="BN29">IFERROR(TRIM(_xlfn.REGEXEXTRACT(BL29,"(\d+[%]?$|[A-Z]+$)")),"")</f>
        <v/>
      </c>
      <c r="BO29" s="67"/>
      <c r="BP29" s="70" t="str">
        <f t="shared" si="20"/>
        <v/>
      </c>
      <c r="BQ29" s="70" t="str">
        <f t="array" ref="BQ29">IFERROR(TRIM(_xlfn.REGEXEXTRACT(BO29,"(\d.+[%]?$|[0-9]|[A-Z]+$)")),"")</f>
        <v/>
      </c>
      <c r="BR29" s="71" t="str">
        <f>IFERROR(VLOOKUP(BP29,'사용자가 입력할 시트'!$AF$2:$AG$60,2,FALSE),BP29)</f>
        <v/>
      </c>
      <c r="BS29" s="72" t="str">
        <f t="array" ref="BS29">IFERROR(TRIM(_xlfn.REGEXEXTRACT(BQ29,"(\d+[%]?$|[A-Z]+$)")),"")</f>
        <v/>
      </c>
      <c r="BT29" s="67"/>
      <c r="BU29" s="70" t="str">
        <f t="shared" si="21"/>
        <v/>
      </c>
      <c r="BV29" s="70" t="str">
        <f t="array" ref="BV29">IFERROR(TRIM(_xlfn.REGEXEXTRACT(BT29,"(\d.+[%]?$|[0-9]|[A-Z]+$)")),"")</f>
        <v/>
      </c>
      <c r="BW29" s="71" t="str">
        <f>IFERROR(VLOOKUP(BU29,'사용자가 입력할 시트'!$AF$2:$AG$60,2,FALSE),BU29)</f>
        <v/>
      </c>
      <c r="BX29" s="72" t="str">
        <f t="array" ref="BX29">IFERROR(TRIM(_xlfn.REGEXEXTRACT(BV29,"(\d+[%]?$|[A-Z]+$)")),"")</f>
        <v/>
      </c>
      <c r="BY29" s="67"/>
      <c r="BZ29" s="70" t="str">
        <f t="shared" si="22"/>
        <v/>
      </c>
      <c r="CA29" s="70" t="str">
        <f t="array" ref="CA29">IFERROR(TRIM(_xlfn.REGEXEXTRACT(BY29,"(\d.+[%]?$|[0-9]|[A-Z]+$)")),"")</f>
        <v/>
      </c>
      <c r="CB29" s="71" t="str">
        <f>IFERROR(VLOOKUP(BZ29,'사용자가 입력할 시트'!$AF$2:$AG$60,2,FALSE),BZ29)</f>
        <v/>
      </c>
      <c r="CC29" s="72" t="str">
        <f t="array" ref="CC29">IFERROR(TRIM(_xlfn.REGEXEXTRACT(CA29,"(\d+[%]?$|[A-Z]+$)")),"")</f>
        <v/>
      </c>
    </row>
    <row r="30" spans="2:81" ht="16.5" customHeight="1">
      <c r="B30" s="60"/>
      <c r="C30" s="103"/>
      <c r="D30" s="22"/>
      <c r="E30" s="23"/>
      <c r="F30" s="23"/>
      <c r="G30" s="23"/>
      <c r="H30" s="23"/>
      <c r="I30" s="22"/>
      <c r="J30" s="22"/>
      <c r="K30" s="22"/>
      <c r="L30" s="22"/>
      <c r="M30" s="23"/>
      <c r="N30" s="23"/>
      <c r="O30" s="22"/>
      <c r="P30" s="27"/>
      <c r="Q30" s="61"/>
      <c r="W30" s="2" t="str">
        <f t="shared" ca="1" si="10"/>
        <v/>
      </c>
      <c r="X30" s="2" t="str">
        <f t="shared" ca="1" si="11"/>
        <v/>
      </c>
      <c r="Y30" s="2" t="str">
        <f t="shared" ca="1" si="12"/>
        <v/>
      </c>
      <c r="Z30" s="42" t="str">
        <f t="shared" ref="Z30" ca="1" si="44">IF(X29="","",$X$4&amp;" :"&amp;X29&amp;IF(X29=X30,"","("&amp;X30&amp;")"))</f>
        <v>실내 :D()</v>
      </c>
      <c r="AB30" s="1" t="s">
        <v>194</v>
      </c>
      <c r="AC30" s="2" t="s">
        <v>183</v>
      </c>
      <c r="AD30" s="4" t="str">
        <f>_xlfn.LET(_xlpm.titleCell, MATCH($AC$30, BC:BC, 0),_xlpm.nextTitleCell, IFERROR(_xlfn.AGGREGATE(15, 6, ROW($BC$2:$BC$100)/(LEFT($BC$2:$BC$100,1)="≪")/(ROW($BC$2:$BC$100)&gt;_xlpm.titleCell), 1), ROWS(BC:BC)+1),_xlpm.startRow, _xlpm.titleCell + 1,_xlpm.endRow, _xlpm.nextTitleCell - 1,_xlpm.colStart, COLUMN($BC$2),_xlpm.colEnd, _xlpm.colStart + 1,ADDRESS(_xlpm.startRow, _xlpm.colStart) &amp; ":" &amp; ADDRESS(_xlpm.endRow, _xlpm.colEnd))</f>
        <v>$BC$6:$BD$25</v>
      </c>
      <c r="AF30" s="68" t="s">
        <v>176</v>
      </c>
      <c r="AG30" s="70" t="str">
        <f t="shared" si="13"/>
        <v>会心値</v>
      </c>
      <c r="AH30" s="70" t="str">
        <f t="array" ref="AH30">IFERROR(TRIM(_xlfn.REGEXEXTRACT(AF30,"(\d.+[%]?$|[0-9]|[A-Z]+$)")),"")</f>
        <v>799</v>
      </c>
      <c r="AI30" s="71" t="str">
        <f>IFERROR(VLOOKUP(AG30,'사용자가 입력할 시트'!$AF$2:$AG$60,2,FALSE),AG30)</f>
        <v>치명 수치</v>
      </c>
      <c r="AJ30" s="72" t="str">
        <f t="array" ref="AJ30">IFERROR(TRIM(_xlfn.REGEXEXTRACT(AH30,"(\d+[%]?$|[A-Z]+$)")),"")</f>
        <v>799</v>
      </c>
      <c r="AK30" s="68" t="s">
        <v>176</v>
      </c>
      <c r="AL30" s="70" t="str">
        <f t="shared" si="14"/>
        <v>会心値</v>
      </c>
      <c r="AM30" s="70" t="str">
        <f t="array" ref="AM30">IFERROR(TRIM(_xlfn.REGEXEXTRACT(AK30,"(\d.+[%]?$|[0-9]|[A-Z]+$)")),"")</f>
        <v>799</v>
      </c>
      <c r="AN30" s="71" t="str">
        <f>IFERROR(VLOOKUP(AL30,'사용자가 입력할 시트'!$AF$2:$AG$60,2,FALSE),AL30)</f>
        <v>치명 수치</v>
      </c>
      <c r="AO30" s="72" t="str">
        <f t="array" ref="AO30">IFERROR(TRIM(_xlfn.REGEXEXTRACT(AM30,"(\d+[%]?$|[A-Z]+$)")),"")</f>
        <v>799</v>
      </c>
      <c r="AP30" s="68" t="s">
        <v>176</v>
      </c>
      <c r="AQ30" s="70" t="str">
        <f t="shared" si="15"/>
        <v>会心値</v>
      </c>
      <c r="AR30" s="70" t="str">
        <f t="array" ref="AR30">IFERROR(TRIM(_xlfn.REGEXEXTRACT(AP30,"(\d.+[%]?$|[0-9]|[A-Z]+$)")),"")</f>
        <v>799</v>
      </c>
      <c r="AS30" s="71" t="str">
        <f>IFERROR(VLOOKUP(AQ30,'사용자가 입력할 시트'!$AF$2:$AG$60,2,FALSE),AQ30)</f>
        <v>치명 수치</v>
      </c>
      <c r="AT30" s="72" t="str">
        <f t="array" ref="AT30">IFERROR(TRIM(_xlfn.REGEXEXTRACT(AR30,"(\d+[%]?$|[A-Z]+$)")),"")</f>
        <v>799</v>
      </c>
      <c r="AU30" s="67" t="s">
        <v>39</v>
      </c>
      <c r="AV30" s="70" t="str">
        <f t="shared" si="16"/>
        <v>≪고유무기 만렙≫</v>
      </c>
      <c r="AW30" s="70" t="str">
        <f t="array" ref="AW30">IFERROR(TRIM(_xlfn.REGEXEXTRACT(AU30,"(\d.+[%]?$|[0-9]|[A-Z]+$)")),"")</f>
        <v/>
      </c>
      <c r="AX30" s="71" t="str">
        <f>IFERROR(VLOOKUP(AV30,'사용자가 입력할 시트'!$AF$2:$AG$60,2,FALSE),AV30)</f>
        <v>≪고유무기 만렙≫</v>
      </c>
      <c r="AY30" s="72" t="str">
        <f t="array" ref="AY30">IFERROR(TRIM(_xlfn.REGEXEXTRACT(AW30,"(\d+[%]?$|[A-Z]+$)")),"")</f>
        <v/>
      </c>
      <c r="AZ30" s="67" t="s">
        <v>39</v>
      </c>
      <c r="BA30" s="70" t="str">
        <f t="shared" si="17"/>
        <v>≪고유무기 만렙≫</v>
      </c>
      <c r="BB30" s="70" t="str">
        <f t="array" ref="BB30">IFERROR(TRIM(_xlfn.REGEXEXTRACT(AZ30,"(\d.+[%]?$|[0-9]|[A-Z]+$)")),"")</f>
        <v/>
      </c>
      <c r="BC30" s="71" t="str">
        <f>IFERROR(VLOOKUP(BA30,'사용자가 입력할 시트'!$AF$2:$AG$60,2,FALSE),BA30)</f>
        <v>≪고유무기 만렙≫</v>
      </c>
      <c r="BD30" s="72" t="str">
        <f t="array" ref="BD30">IFERROR(TRIM(_xlfn.REGEXEXTRACT(BB30,"(\d+[%]?$|[A-Z]+$)")),"")</f>
        <v/>
      </c>
      <c r="BE30" s="67" t="s">
        <v>39</v>
      </c>
      <c r="BF30" s="70" t="str">
        <f t="shared" si="18"/>
        <v>≪고유무기 만렙≫</v>
      </c>
      <c r="BG30" s="70" t="str">
        <f t="array" ref="BG30">IFERROR(TRIM(_xlfn.REGEXEXTRACT(BE30,"(\d.+[%]?$|[0-9]|[A-Z]+$)")),"")</f>
        <v/>
      </c>
      <c r="BH30" s="71" t="str">
        <f>IFERROR(VLOOKUP(BF30,'사용자가 입력할 시트'!$AF$2:$AG$60,2,FALSE),BF30)</f>
        <v>≪고유무기 만렙≫</v>
      </c>
      <c r="BI30" s="72" t="str">
        <f t="array" ref="BI30">IFERROR(TRIM(_xlfn.REGEXEXTRACT(BG30,"(\d+[%]?$|[A-Z]+$)")),"")</f>
        <v/>
      </c>
      <c r="BJ30" s="67" t="s">
        <v>39</v>
      </c>
      <c r="BK30" s="70" t="str">
        <f t="shared" si="19"/>
        <v>≪고유무기 만렙≫</v>
      </c>
      <c r="BL30" s="70" t="str">
        <f t="array" ref="BL30">IFERROR(TRIM(_xlfn.REGEXEXTRACT(BJ30,"(\d.+[%]?$|[0-9]|[A-Z]+$)")),"")</f>
        <v/>
      </c>
      <c r="BM30" s="71" t="str">
        <f>IFERROR(VLOOKUP(BK30,'사용자가 입력할 시트'!$AF$2:$AG$60,2,FALSE),BK30)</f>
        <v>≪고유무기 만렙≫</v>
      </c>
      <c r="BN30" s="72" t="str">
        <f t="array" ref="BN30">IFERROR(TRIM(_xlfn.REGEXEXTRACT(BL30,"(\d+[%]?$|[A-Z]+$)")),"")</f>
        <v/>
      </c>
      <c r="BO30" s="67" t="s">
        <v>39</v>
      </c>
      <c r="BP30" s="70" t="str">
        <f t="shared" si="20"/>
        <v>≪고유무기 만렙≫</v>
      </c>
      <c r="BQ30" s="70" t="str">
        <f t="array" ref="BQ30">IFERROR(TRIM(_xlfn.REGEXEXTRACT(BO30,"(\d.+[%]?$|[0-9]|[A-Z]+$)")),"")</f>
        <v/>
      </c>
      <c r="BR30" s="71" t="str">
        <f>IFERROR(VLOOKUP(BP30,'사용자가 입력할 시트'!$AF$2:$AG$60,2,FALSE),BP30)</f>
        <v>≪고유무기 만렙≫</v>
      </c>
      <c r="BS30" s="72" t="str">
        <f t="array" ref="BS30">IFERROR(TRIM(_xlfn.REGEXEXTRACT(BQ30,"(\d+[%]?$|[A-Z]+$)")),"")</f>
        <v/>
      </c>
      <c r="BT30" s="67" t="s">
        <v>39</v>
      </c>
      <c r="BU30" s="70" t="str">
        <f t="shared" si="21"/>
        <v>≪고유무기 만렙≫</v>
      </c>
      <c r="BV30" s="70" t="str">
        <f t="array" ref="BV30">IFERROR(TRIM(_xlfn.REGEXEXTRACT(BT30,"(\d.+[%]?$|[0-9]|[A-Z]+$)")),"")</f>
        <v/>
      </c>
      <c r="BW30" s="71" t="str">
        <f>IFERROR(VLOOKUP(BU30,'사용자가 입력할 시트'!$AF$2:$AG$60,2,FALSE),BU30)</f>
        <v>≪고유무기 만렙≫</v>
      </c>
      <c r="BX30" s="72" t="str">
        <f t="array" ref="BX30">IFERROR(TRIM(_xlfn.REGEXEXTRACT(BV30,"(\d+[%]?$|[A-Z]+$)")),"")</f>
        <v/>
      </c>
      <c r="BY30" s="67" t="s">
        <v>39</v>
      </c>
      <c r="BZ30" s="70" t="str">
        <f t="shared" si="22"/>
        <v>≪고유무기 만렙≫</v>
      </c>
      <c r="CA30" s="70" t="str">
        <f t="array" ref="CA30">IFERROR(TRIM(_xlfn.REGEXEXTRACT(BY30,"(\d.+[%]?$|[0-9]|[A-Z]+$)")),"")</f>
        <v/>
      </c>
      <c r="CB30" s="71" t="str">
        <f>IFERROR(VLOOKUP(BZ30,'사용자가 입력할 시트'!$AF$2:$AG$60,2,FALSE),BZ30)</f>
        <v>≪고유무기 만렙≫</v>
      </c>
      <c r="CC30" s="72" t="str">
        <f t="array" ref="CC30">IFERROR(TRIM(_xlfn.REGEXEXTRACT(CA30,"(\d+[%]?$|[A-Z]+$)")),"")</f>
        <v/>
      </c>
    </row>
    <row r="31" spans="2:81" ht="16.5" customHeight="1">
      <c r="B31" s="60"/>
      <c r="C31" s="104"/>
      <c r="D31" s="29"/>
      <c r="E31" s="18"/>
      <c r="F31" s="18"/>
      <c r="G31" s="18"/>
      <c r="H31" s="18"/>
      <c r="I31" s="29"/>
      <c r="J31" s="29"/>
      <c r="K31" s="29"/>
      <c r="L31" s="29"/>
      <c r="M31" s="18"/>
      <c r="N31" s="18"/>
      <c r="O31" s="29"/>
      <c r="P31" s="30"/>
      <c r="Q31" s="62"/>
      <c r="W31" s="2" t="str">
        <f t="shared" ca="1" si="10"/>
        <v/>
      </c>
      <c r="X31" s="2" t="str">
        <f t="shared" ca="1" si="11"/>
        <v/>
      </c>
      <c r="Y31" s="2" t="str">
        <f t="shared" ca="1" si="12"/>
        <v/>
      </c>
      <c r="Z31" s="42" t="str">
        <f t="shared" ref="Z31" ca="1" si="45">IF(Y29="","",$Y$4&amp;" :"&amp;Y29&amp;IF(Y29=Y30,"","("&amp;Y30&amp;")"))</f>
        <v>야외 :B()</v>
      </c>
      <c r="AC31" s="4" t="s">
        <v>185</v>
      </c>
      <c r="AD31" s="4" t="str">
        <f>_xlfn.LET(_xlpm.titleCell, MATCH($AC$31, BC:BC, 0),_xlpm.nextTitleCell, IFERROR(_xlfn.AGGREGATE(15, 6, ROW($BC$2:$BC$100)/(LEFT($BC$2:$BC$100,1)="≪")/(ROW($BC$2:$BC$100)&gt;_xlpm.titleCell), 1), ROWS(BC:BC)+1),_xlpm.startRow, _xlpm.titleCell + 1,_xlpm.endRow, _xlpm.nextTitleCell - 1,_xlpm.colStart, COLUMN($BC$2),_xlpm.colEnd, _xlpm.colStart + 1,ADDRESS(_xlpm.startRow, _xlpm.colStart) &amp; ":" &amp; ADDRESS(_xlpm.endRow, _xlpm.colEnd))</f>
        <v>$BC$27:$BD$29</v>
      </c>
      <c r="AF31" s="67" t="s">
        <v>43</v>
      </c>
      <c r="AG31" s="70" t="str">
        <f t="shared" si="13"/>
        <v>防御貫通値</v>
      </c>
      <c r="AH31" s="70" t="str">
        <f t="array" ref="AH31">IFERROR(TRIM(_xlfn.REGEXEXTRACT(AF31,"(\d.+[%]?$|[0-9]|[A-Z]+$)")),"")</f>
        <v>0</v>
      </c>
      <c r="AI31" s="71" t="str">
        <f>IFERROR(VLOOKUP(AG31,'사용자가 입력할 시트'!$AF$2:$AG$60,2,FALSE),AG31)</f>
        <v>방어관통</v>
      </c>
      <c r="AJ31" s="72" t="str">
        <f t="array" ref="AJ31">IFERROR(TRIM(_xlfn.REGEXEXTRACT(AH31,"(\d+[%]?$|[A-Z]+$)")),"")</f>
        <v>0</v>
      </c>
      <c r="AK31" s="67" t="s">
        <v>43</v>
      </c>
      <c r="AL31" s="70" t="str">
        <f t="shared" si="14"/>
        <v>防御貫通値</v>
      </c>
      <c r="AM31" s="70" t="str">
        <f t="array" ref="AM31">IFERROR(TRIM(_xlfn.REGEXEXTRACT(AK31,"(\d.+[%]?$|[0-9]|[A-Z]+$)")),"")</f>
        <v>0</v>
      </c>
      <c r="AN31" s="71" t="str">
        <f>IFERROR(VLOOKUP(AL31,'사용자가 입력할 시트'!$AF$2:$AG$60,2,FALSE),AL31)</f>
        <v>방어관통</v>
      </c>
      <c r="AO31" s="72" t="str">
        <f t="array" ref="AO31">IFERROR(TRIM(_xlfn.REGEXEXTRACT(AM31,"(\d+[%]?$|[A-Z]+$)")),"")</f>
        <v>0</v>
      </c>
      <c r="AP31" s="67" t="s">
        <v>43</v>
      </c>
      <c r="AQ31" s="70" t="str">
        <f t="shared" si="15"/>
        <v>防御貫通値</v>
      </c>
      <c r="AR31" s="70" t="str">
        <f t="array" ref="AR31">IFERROR(TRIM(_xlfn.REGEXEXTRACT(AP31,"(\d.+[%]?$|[0-9]|[A-Z]+$)")),"")</f>
        <v>0</v>
      </c>
      <c r="AS31" s="71" t="str">
        <f>IFERROR(VLOOKUP(AQ31,'사용자가 입력할 시트'!$AF$2:$AG$60,2,FALSE),AQ31)</f>
        <v>방어관통</v>
      </c>
      <c r="AT31" s="72" t="str">
        <f t="array" ref="AT31">IFERROR(TRIM(_xlfn.REGEXEXTRACT(AR31,"(\d+[%]?$|[A-Z]+$)")),"")</f>
        <v>0</v>
      </c>
      <c r="AU31" s="67" t="s">
        <v>126</v>
      </c>
      <c r="AV31" s="70" t="str">
        <f t="shared" si="16"/>
        <v>攻撃力</v>
      </c>
      <c r="AW31" s="70" t="str">
        <f t="array" ref="AW31">IFERROR(TRIM(_xlfn.REGEXEXTRACT(AU31,"(\d.+[%]?$|[0-9]|[A-Z]+$)")),"")</f>
        <v>855</v>
      </c>
      <c r="AX31" s="71" t="str">
        <f>IFERROR(VLOOKUP(AV31,'사용자가 입력할 시트'!$AF$2:$AG$60,2,FALSE),AV31)</f>
        <v>공격력</v>
      </c>
      <c r="AY31" s="72" t="str">
        <f t="array" ref="AY31">IFERROR(TRIM(_xlfn.REGEXEXTRACT(AW31,"(\d+[%]?$|[A-Z]+$)")),"")</f>
        <v>855</v>
      </c>
      <c r="AZ31" s="67" t="s">
        <v>126</v>
      </c>
      <c r="BA31" s="70" t="str">
        <f t="shared" si="17"/>
        <v>攻撃力</v>
      </c>
      <c r="BB31" s="70" t="str">
        <f t="array" ref="BB31">IFERROR(TRIM(_xlfn.REGEXEXTRACT(AZ31,"(\d.+[%]?$|[0-9]|[A-Z]+$)")),"")</f>
        <v>855</v>
      </c>
      <c r="BC31" s="71" t="str">
        <f>IFERROR(VLOOKUP(BA31,'사용자가 입력할 시트'!$AF$2:$AG$60,2,FALSE),BA31)</f>
        <v>공격력</v>
      </c>
      <c r="BD31" s="72" t="str">
        <f t="array" ref="BD31">IFERROR(TRIM(_xlfn.REGEXEXTRACT(BB31,"(\d+[%]?$|[A-Z]+$)")),"")</f>
        <v>855</v>
      </c>
      <c r="BE31" s="67" t="s">
        <v>126</v>
      </c>
      <c r="BF31" s="70" t="str">
        <f t="shared" si="18"/>
        <v>攻撃力</v>
      </c>
      <c r="BG31" s="70" t="str">
        <f t="array" ref="BG31">IFERROR(TRIM(_xlfn.REGEXEXTRACT(BE31,"(\d.+[%]?$|[0-9]|[A-Z]+$)")),"")</f>
        <v>855</v>
      </c>
      <c r="BH31" s="71" t="str">
        <f>IFERROR(VLOOKUP(BF31,'사용자가 입력할 시트'!$AF$2:$AG$60,2,FALSE),BF31)</f>
        <v>공격력</v>
      </c>
      <c r="BI31" s="72" t="str">
        <f t="array" ref="BI31">IFERROR(TRIM(_xlfn.REGEXEXTRACT(BG31,"(\d+[%]?$|[A-Z]+$)")),"")</f>
        <v>855</v>
      </c>
      <c r="BJ31" s="67" t="s">
        <v>126</v>
      </c>
      <c r="BK31" s="70" t="str">
        <f t="shared" si="19"/>
        <v>攻撃力</v>
      </c>
      <c r="BL31" s="70" t="str">
        <f t="array" ref="BL31">IFERROR(TRIM(_xlfn.REGEXEXTRACT(BJ31,"(\d.+[%]?$|[0-9]|[A-Z]+$)")),"")</f>
        <v>855</v>
      </c>
      <c r="BM31" s="71" t="str">
        <f>IFERROR(VLOOKUP(BK31,'사용자가 입력할 시트'!$AF$2:$AG$60,2,FALSE),BK31)</f>
        <v>공격력</v>
      </c>
      <c r="BN31" s="72" t="str">
        <f t="array" ref="BN31">IFERROR(TRIM(_xlfn.REGEXEXTRACT(BL31,"(\d+[%]?$|[A-Z]+$)")),"")</f>
        <v>855</v>
      </c>
      <c r="BO31" s="67" t="s">
        <v>126</v>
      </c>
      <c r="BP31" s="70" t="str">
        <f t="shared" si="20"/>
        <v>攻撃力</v>
      </c>
      <c r="BQ31" s="70" t="str">
        <f t="array" ref="BQ31">IFERROR(TRIM(_xlfn.REGEXEXTRACT(BO31,"(\d.+[%]?$|[0-9]|[A-Z]+$)")),"")</f>
        <v>855</v>
      </c>
      <c r="BR31" s="71" t="str">
        <f>IFERROR(VLOOKUP(BP31,'사용자가 입력할 시트'!$AF$2:$AG$60,2,FALSE),BP31)</f>
        <v>공격력</v>
      </c>
      <c r="BS31" s="72" t="str">
        <f t="array" ref="BS31">IFERROR(TRIM(_xlfn.REGEXEXTRACT(BQ31,"(\d+[%]?$|[A-Z]+$)")),"")</f>
        <v>855</v>
      </c>
      <c r="BT31" s="67" t="s">
        <v>126</v>
      </c>
      <c r="BU31" s="70" t="str">
        <f t="shared" si="21"/>
        <v>攻撃力</v>
      </c>
      <c r="BV31" s="70" t="str">
        <f t="array" ref="BV31">IFERROR(TRIM(_xlfn.REGEXEXTRACT(BT31,"(\d.+[%]?$|[0-9]|[A-Z]+$)")),"")</f>
        <v>855</v>
      </c>
      <c r="BW31" s="71" t="str">
        <f>IFERROR(VLOOKUP(BU31,'사용자가 입력할 시트'!$AF$2:$AG$60,2,FALSE),BU31)</f>
        <v>공격력</v>
      </c>
      <c r="BX31" s="72" t="str">
        <f t="array" ref="BX31">IFERROR(TRIM(_xlfn.REGEXEXTRACT(BV31,"(\d+[%]?$|[A-Z]+$)")),"")</f>
        <v>855</v>
      </c>
      <c r="BY31" s="67" t="s">
        <v>126</v>
      </c>
      <c r="BZ31" s="70" t="str">
        <f t="shared" si="22"/>
        <v>攻撃力</v>
      </c>
      <c r="CA31" s="70" t="str">
        <f t="array" ref="CA31">IFERROR(TRIM(_xlfn.REGEXEXTRACT(BY31,"(\d.+[%]?$|[0-9]|[A-Z]+$)")),"")</f>
        <v>855</v>
      </c>
      <c r="CB31" s="71" t="str">
        <f>IFERROR(VLOOKUP(BZ31,'사용자가 입력할 시트'!$AF$2:$AG$60,2,FALSE),BZ31)</f>
        <v>공격력</v>
      </c>
      <c r="CC31" s="72" t="str">
        <f t="array" ref="CC31">IFERROR(TRIM(_xlfn.REGEXEXTRACT(CA31,"(\d+[%]?$|[A-Z]+$)")),"")</f>
        <v>855</v>
      </c>
    </row>
    <row r="32" spans="2:81">
      <c r="B32" s="63" t="s">
        <v>166</v>
      </c>
      <c r="C32" s="105"/>
      <c r="D32" s="35"/>
      <c r="E32" s="36"/>
      <c r="F32" s="36"/>
      <c r="G32" s="36"/>
      <c r="H32" s="35"/>
      <c r="I32" s="36"/>
      <c r="J32" s="36"/>
      <c r="K32" s="36"/>
      <c r="L32" s="36"/>
      <c r="M32" s="36"/>
      <c r="N32" s="36"/>
      <c r="O32" s="36"/>
      <c r="P32" s="37"/>
      <c r="Q32" s="64"/>
      <c r="W32" s="2" t="str">
        <f t="shared" ca="1" si="10"/>
        <v>SS</v>
      </c>
      <c r="X32" s="2" t="str">
        <f t="shared" ca="1" si="11"/>
        <v>D</v>
      </c>
      <c r="Y32" s="2" t="str">
        <f t="shared" ca="1" si="12"/>
        <v>B</v>
      </c>
      <c r="Z32" s="42" t="str">
        <f t="shared" ref="Z32" ca="1" si="46">IF(W32="","",$W$4&amp;" :"&amp;W32&amp;IF(W32=W33,"","("&amp;W33&amp;")"))</f>
        <v>시가 :SS()</v>
      </c>
      <c r="AC32" s="4" t="s">
        <v>186</v>
      </c>
      <c r="AD32" s="4" t="str">
        <f>_xlfn.LET(_xlpm.titleCell, MATCH($AC$32, BC:BC, 0),_xlpm.nextTitleCell, IFERROR(_xlfn.AGGREGATE(15, 6, ROW($BC$2:$BC$100)/(LEFT($BC$2:$BC$100,1)="≪")/(ROW($BC$2:$BC$100)&gt;_xlpm.titleCell), 1), ROWS(BC:BC)+1),_xlpm.startRow, _xlpm.titleCell + 1,_xlpm.endRow, _xlpm.nextTitleCell - 1,_xlpm.colStart, COLUMN($BC$2),_xlpm.colEnd, _xlpm.colStart + 1,ADDRESS(_xlpm.startRow, _xlpm.colStart) &amp; ":" &amp; ADDRESS(_xlpm.endRow, _xlpm.colEnd))</f>
        <v>$BC$31:$BD$34</v>
      </c>
      <c r="AF32" s="67" t="s">
        <v>130</v>
      </c>
      <c r="AG32" s="70" t="str">
        <f t="shared" si="13"/>
        <v>攻撃力</v>
      </c>
      <c r="AH32" s="70" t="str">
        <f t="array" ref="AH32">IFERROR(TRIM(_xlfn.REGEXEXTRACT(AF32,"(\d.+[%]?$|[0-9]|[A-Z]+$)")),"")</f>
        <v>7665</v>
      </c>
      <c r="AI32" s="71" t="str">
        <f>IFERROR(VLOOKUP(AG32,'사용자가 입력할 시트'!$AF$2:$AG$60,2,FALSE),AG32)</f>
        <v>공격력</v>
      </c>
      <c r="AJ32" s="72" t="str">
        <f t="array" ref="AJ32">IFERROR(TRIM(_xlfn.REGEXEXTRACT(AH32,"(\d+[%]?$|[A-Z]+$)")),"")</f>
        <v>7665</v>
      </c>
      <c r="AK32" s="67" t="s">
        <v>130</v>
      </c>
      <c r="AL32" s="70" t="str">
        <f t="shared" si="14"/>
        <v>攻撃力</v>
      </c>
      <c r="AM32" s="70" t="str">
        <f t="array" ref="AM32">IFERROR(TRIM(_xlfn.REGEXEXTRACT(AK32,"(\d.+[%]?$|[0-9]|[A-Z]+$)")),"")</f>
        <v>7665</v>
      </c>
      <c r="AN32" s="71" t="str">
        <f>IFERROR(VLOOKUP(AL32,'사용자가 입력할 시트'!$AF$2:$AG$60,2,FALSE),AL32)</f>
        <v>공격력</v>
      </c>
      <c r="AO32" s="72" t="str">
        <f t="array" ref="AO32">IFERROR(TRIM(_xlfn.REGEXEXTRACT(AM32,"(\d+[%]?$|[A-Z]+$)")),"")</f>
        <v>7665</v>
      </c>
      <c r="AP32" s="67" t="s">
        <v>130</v>
      </c>
      <c r="AQ32" s="70" t="str">
        <f t="shared" si="15"/>
        <v>攻撃力</v>
      </c>
      <c r="AR32" s="70" t="str">
        <f t="array" ref="AR32">IFERROR(TRIM(_xlfn.REGEXEXTRACT(AP32,"(\d.+[%]?$|[0-9]|[A-Z]+$)")),"")</f>
        <v>7665</v>
      </c>
      <c r="AS32" s="71" t="str">
        <f>IFERROR(VLOOKUP(AQ32,'사용자가 입력할 시트'!$AF$2:$AG$60,2,FALSE),AQ32)</f>
        <v>공격력</v>
      </c>
      <c r="AT32" s="72" t="str">
        <f t="array" ref="AT32">IFERROR(TRIM(_xlfn.REGEXEXTRACT(AR32,"(\d+[%]?$|[A-Z]+$)")),"")</f>
        <v>7665</v>
      </c>
      <c r="AU32" s="67" t="s">
        <v>127</v>
      </c>
      <c r="AV32" s="70" t="str">
        <f t="shared" si="16"/>
        <v>振動特効</v>
      </c>
      <c r="AW32" s="70" t="str">
        <f t="array" ref="AW32">IFERROR(TRIM(_xlfn.REGEXEXTRACT(AU32,"(\d.+[%]?$|[0-9]|[A-Z]+$)")),"")</f>
        <v>10%</v>
      </c>
      <c r="AX32" s="71" t="str">
        <f>IFERROR(VLOOKUP(AV32,'사용자가 입력할 시트'!$AF$2:$AG$60,2,FALSE),AV32)</f>
        <v>진동특효</v>
      </c>
      <c r="AY32" s="72" t="str">
        <f t="array" ref="AY32">IFERROR(TRIM(_xlfn.REGEXEXTRACT(AW32,"(\d+[%]?$|[A-Z]+$)")),"")</f>
        <v>10%</v>
      </c>
      <c r="AZ32" s="67" t="s">
        <v>127</v>
      </c>
      <c r="BA32" s="70" t="str">
        <f t="shared" si="17"/>
        <v>振動特効</v>
      </c>
      <c r="BB32" s="70" t="str">
        <f t="array" ref="BB32">IFERROR(TRIM(_xlfn.REGEXEXTRACT(AZ32,"(\d.+[%]?$|[0-9]|[A-Z]+$)")),"")</f>
        <v>10%</v>
      </c>
      <c r="BC32" s="71" t="str">
        <f>IFERROR(VLOOKUP(BA32,'사용자가 입력할 시트'!$AF$2:$AG$60,2,FALSE),BA32)</f>
        <v>진동특효</v>
      </c>
      <c r="BD32" s="72" t="str">
        <f t="array" ref="BD32">IFERROR(TRIM(_xlfn.REGEXEXTRACT(BB32,"(\d+[%]?$|[A-Z]+$)")),"")</f>
        <v>10%</v>
      </c>
      <c r="BE32" s="67" t="s">
        <v>127</v>
      </c>
      <c r="BF32" s="70" t="str">
        <f t="shared" si="18"/>
        <v>振動特効</v>
      </c>
      <c r="BG32" s="70" t="str">
        <f t="array" ref="BG32">IFERROR(TRIM(_xlfn.REGEXEXTRACT(BE32,"(\d.+[%]?$|[0-9]|[A-Z]+$)")),"")</f>
        <v>10%</v>
      </c>
      <c r="BH32" s="71" t="str">
        <f>IFERROR(VLOOKUP(BF32,'사용자가 입력할 시트'!$AF$2:$AG$60,2,FALSE),BF32)</f>
        <v>진동특효</v>
      </c>
      <c r="BI32" s="72" t="str">
        <f t="array" ref="BI32">IFERROR(TRIM(_xlfn.REGEXEXTRACT(BG32,"(\d+[%]?$|[A-Z]+$)")),"")</f>
        <v>10%</v>
      </c>
      <c r="BJ32" s="67" t="s">
        <v>127</v>
      </c>
      <c r="BK32" s="70" t="str">
        <f t="shared" si="19"/>
        <v>振動特効</v>
      </c>
      <c r="BL32" s="70" t="str">
        <f t="array" ref="BL32">IFERROR(TRIM(_xlfn.REGEXEXTRACT(BJ32,"(\d.+[%]?$|[0-9]|[A-Z]+$)")),"")</f>
        <v>10%</v>
      </c>
      <c r="BM32" s="71" t="str">
        <f>IFERROR(VLOOKUP(BK32,'사용자가 입력할 시트'!$AF$2:$AG$60,2,FALSE),BK32)</f>
        <v>진동특효</v>
      </c>
      <c r="BN32" s="72" t="str">
        <f t="array" ref="BN32">IFERROR(TRIM(_xlfn.REGEXEXTRACT(BL32,"(\d+[%]?$|[A-Z]+$)")),"")</f>
        <v>10%</v>
      </c>
      <c r="BO32" s="67" t="s">
        <v>127</v>
      </c>
      <c r="BP32" s="70" t="str">
        <f t="shared" si="20"/>
        <v>振動特効</v>
      </c>
      <c r="BQ32" s="70" t="str">
        <f t="array" ref="BQ32">IFERROR(TRIM(_xlfn.REGEXEXTRACT(BO32,"(\d.+[%]?$|[0-9]|[A-Z]+$)")),"")</f>
        <v>10%</v>
      </c>
      <c r="BR32" s="71" t="str">
        <f>IFERROR(VLOOKUP(BP32,'사용자가 입력할 시트'!$AF$2:$AG$60,2,FALSE),BP32)</f>
        <v>진동특효</v>
      </c>
      <c r="BS32" s="72" t="str">
        <f t="array" ref="BS32">IFERROR(TRIM(_xlfn.REGEXEXTRACT(BQ32,"(\d+[%]?$|[A-Z]+$)")),"")</f>
        <v>10%</v>
      </c>
      <c r="BT32" s="67" t="s">
        <v>127</v>
      </c>
      <c r="BU32" s="70" t="str">
        <f t="shared" si="21"/>
        <v>振動特効</v>
      </c>
      <c r="BV32" s="70" t="str">
        <f t="array" ref="BV32">IFERROR(TRIM(_xlfn.REGEXEXTRACT(BT32,"(\d.+[%]?$|[0-9]|[A-Z]+$)")),"")</f>
        <v>10%</v>
      </c>
      <c r="BW32" s="71" t="str">
        <f>IFERROR(VLOOKUP(BU32,'사용자가 입력할 시트'!$AF$2:$AG$60,2,FALSE),BU32)</f>
        <v>진동특효</v>
      </c>
      <c r="BX32" s="72" t="str">
        <f t="array" ref="BX32">IFERROR(TRIM(_xlfn.REGEXEXTRACT(BV32,"(\d+[%]?$|[A-Z]+$)")),"")</f>
        <v>10%</v>
      </c>
      <c r="BY32" s="67" t="s">
        <v>127</v>
      </c>
      <c r="BZ32" s="70" t="str">
        <f t="shared" si="22"/>
        <v>振動特効</v>
      </c>
      <c r="CA32" s="70" t="str">
        <f t="array" ref="CA32">IFERROR(TRIM(_xlfn.REGEXEXTRACT(BY32,"(\d.+[%]?$|[0-9]|[A-Z]+$)")),"")</f>
        <v>10%</v>
      </c>
      <c r="CB32" s="71" t="str">
        <f>IFERROR(VLOOKUP(BZ32,'사용자가 입력할 시트'!$AF$2:$AG$60,2,FALSE),BZ32)</f>
        <v>진동특효</v>
      </c>
      <c r="CC32" s="72" t="str">
        <f t="array" ref="CC32">IFERROR(TRIM(_xlfn.REGEXEXTRACT(CA32,"(\d+[%]?$|[A-Z]+$)")),"")</f>
        <v>10%</v>
      </c>
    </row>
    <row r="33" spans="2:81">
      <c r="B33" s="116"/>
      <c r="C33" s="100"/>
      <c r="D33" s="13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4"/>
      <c r="Q33" s="15"/>
      <c r="W33" s="2" t="str">
        <f t="shared" ca="1" si="10"/>
        <v/>
      </c>
      <c r="X33" s="2" t="str">
        <f t="shared" ca="1" si="11"/>
        <v/>
      </c>
      <c r="Y33" s="2" t="str">
        <f t="shared" ca="1" si="12"/>
        <v/>
      </c>
      <c r="Z33" s="42" t="str">
        <f t="shared" ref="Z33" ca="1" si="47">IF(X32="","",$X$4&amp;" :"&amp;X32&amp;IF(X32=X33,"","("&amp;X33&amp;")"))</f>
        <v>실내 :D()</v>
      </c>
      <c r="AC33" s="4" t="s">
        <v>184</v>
      </c>
      <c r="AD33" s="4" t="str">
        <f>_xlfn.LET(_xlpm.titleCell, MATCH($AC$33, BC:BC, 0),_xlpm.nextTitleCell, IFERROR(_xlfn.AGGREGATE(15, 6, ROW($BC$2:$BC$100)/(LEFT($BC$2:$BC$100,1)="≪")/(ROW($BC$2:$BC$100)&gt;_xlpm.titleCell), 1), ROWS(BC:BC)+1),_xlpm.startRow, _xlpm.titleCell + 1,_xlpm.endRow, _xlpm.nextTitleCell - 1,_xlpm.colStart, COLUMN($BC$2),_xlpm.colEnd, _xlpm.colStart + 1,ADDRESS(_xlpm.startRow, _xlpm.colStart) &amp; ":" &amp; ADDRESS(_xlpm.endRow, _xlpm.colEnd))</f>
        <v>$BC$36:$BD$55</v>
      </c>
      <c r="AF33" s="67" t="s">
        <v>84</v>
      </c>
      <c r="AG33" s="70" t="str">
        <f t="shared" si="13"/>
        <v>治癒力</v>
      </c>
      <c r="AH33" s="70" t="str">
        <f t="array" ref="AH33">IFERROR(TRIM(_xlfn.REGEXEXTRACT(AF33,"(\d.+[%]?$|[0-9]|[A-Z]+$)")),"")</f>
        <v>5938</v>
      </c>
      <c r="AI33" s="71" t="str">
        <f>IFERROR(VLOOKUP(AG33,'사용자가 입력할 시트'!$AF$2:$AG$60,2,FALSE),AG33)</f>
        <v>회복력</v>
      </c>
      <c r="AJ33" s="72" t="str">
        <f t="array" ref="AJ33">IFERROR(TRIM(_xlfn.REGEXEXTRACT(AH33,"(\d+[%]?$|[A-Z]+$)")),"")</f>
        <v>5938</v>
      </c>
      <c r="AK33" s="67" t="s">
        <v>84</v>
      </c>
      <c r="AL33" s="70" t="str">
        <f t="shared" si="14"/>
        <v>治癒力</v>
      </c>
      <c r="AM33" s="70" t="str">
        <f t="array" ref="AM33">IFERROR(TRIM(_xlfn.REGEXEXTRACT(AK33,"(\d.+[%]?$|[0-9]|[A-Z]+$)")),"")</f>
        <v>5938</v>
      </c>
      <c r="AN33" s="71" t="str">
        <f>IFERROR(VLOOKUP(AL33,'사용자가 입력할 시트'!$AF$2:$AG$60,2,FALSE),AL33)</f>
        <v>회복력</v>
      </c>
      <c r="AO33" s="72" t="str">
        <f t="array" ref="AO33">IFERROR(TRIM(_xlfn.REGEXEXTRACT(AM33,"(\d+[%]?$|[A-Z]+$)")),"")</f>
        <v>5938</v>
      </c>
      <c r="AP33" s="67" t="s">
        <v>84</v>
      </c>
      <c r="AQ33" s="70" t="str">
        <f t="shared" si="15"/>
        <v>治癒力</v>
      </c>
      <c r="AR33" s="70" t="str">
        <f t="array" ref="AR33">IFERROR(TRIM(_xlfn.REGEXEXTRACT(AP33,"(\d.+[%]?$|[0-9]|[A-Z]+$)")),"")</f>
        <v>5938</v>
      </c>
      <c r="AS33" s="71" t="str">
        <f>IFERROR(VLOOKUP(AQ33,'사용자가 입력할 시트'!$AF$2:$AG$60,2,FALSE),AQ33)</f>
        <v>회복력</v>
      </c>
      <c r="AT33" s="72" t="str">
        <f t="array" ref="AT33">IFERROR(TRIM(_xlfn.REGEXEXTRACT(AR33,"(\d+[%]?$|[A-Z]+$)")),"")</f>
        <v>5938</v>
      </c>
      <c r="AU33" s="67" t="s">
        <v>96</v>
      </c>
      <c r="AV33" s="70" t="str">
        <f t="shared" si="16"/>
        <v>HP</v>
      </c>
      <c r="AW33" s="70" t="str">
        <f t="array" ref="AW33">IFERROR(TRIM(_xlfn.REGEXEXTRACT(AU33,"(\d.+[%]?$|[0-9]|[A-Z]+$)")),"")</f>
        <v>3412</v>
      </c>
      <c r="AX33" s="71" t="str">
        <f>IFERROR(VLOOKUP(AV33,'사용자가 입력할 시트'!$AF$2:$AG$60,2,FALSE),AV33)</f>
        <v>체력</v>
      </c>
      <c r="AY33" s="72" t="str">
        <f t="array" ref="AY33">IFERROR(TRIM(_xlfn.REGEXEXTRACT(AW33,"(\d+[%]?$|[A-Z]+$)")),"")</f>
        <v>3412</v>
      </c>
      <c r="AZ33" s="67" t="s">
        <v>96</v>
      </c>
      <c r="BA33" s="70" t="str">
        <f t="shared" si="17"/>
        <v>HP</v>
      </c>
      <c r="BB33" s="70" t="str">
        <f t="array" ref="BB33">IFERROR(TRIM(_xlfn.REGEXEXTRACT(AZ33,"(\d.+[%]?$|[0-9]|[A-Z]+$)")),"")</f>
        <v>3412</v>
      </c>
      <c r="BC33" s="71" t="str">
        <f>IFERROR(VLOOKUP(BA33,'사용자가 입력할 시트'!$AF$2:$AG$60,2,FALSE),BA33)</f>
        <v>체력</v>
      </c>
      <c r="BD33" s="72" t="str">
        <f t="array" ref="BD33">IFERROR(TRIM(_xlfn.REGEXEXTRACT(BB33,"(\d+[%]?$|[A-Z]+$)")),"")</f>
        <v>3412</v>
      </c>
      <c r="BE33" s="67" t="s">
        <v>96</v>
      </c>
      <c r="BF33" s="70" t="str">
        <f t="shared" si="18"/>
        <v>HP</v>
      </c>
      <c r="BG33" s="70" t="str">
        <f t="array" ref="BG33">IFERROR(TRIM(_xlfn.REGEXEXTRACT(BE33,"(\d.+[%]?$|[0-9]|[A-Z]+$)")),"")</f>
        <v>3412</v>
      </c>
      <c r="BH33" s="71" t="str">
        <f>IFERROR(VLOOKUP(BF33,'사용자가 입력할 시트'!$AF$2:$AG$60,2,FALSE),BF33)</f>
        <v>체력</v>
      </c>
      <c r="BI33" s="72" t="str">
        <f t="array" ref="BI33">IFERROR(TRIM(_xlfn.REGEXEXTRACT(BG33,"(\d+[%]?$|[A-Z]+$)")),"")</f>
        <v>3412</v>
      </c>
      <c r="BJ33" s="67" t="s">
        <v>96</v>
      </c>
      <c r="BK33" s="70" t="str">
        <f t="shared" si="19"/>
        <v>HP</v>
      </c>
      <c r="BL33" s="70" t="str">
        <f t="array" ref="BL33">IFERROR(TRIM(_xlfn.REGEXEXTRACT(BJ33,"(\d.+[%]?$|[0-9]|[A-Z]+$)")),"")</f>
        <v>3412</v>
      </c>
      <c r="BM33" s="71" t="str">
        <f>IFERROR(VLOOKUP(BK33,'사용자가 입력할 시트'!$AF$2:$AG$60,2,FALSE),BK33)</f>
        <v>체력</v>
      </c>
      <c r="BN33" s="72" t="str">
        <f t="array" ref="BN33">IFERROR(TRIM(_xlfn.REGEXEXTRACT(BL33,"(\d+[%]?$|[A-Z]+$)")),"")</f>
        <v>3412</v>
      </c>
      <c r="BO33" s="67" t="s">
        <v>96</v>
      </c>
      <c r="BP33" s="70" t="str">
        <f t="shared" si="20"/>
        <v>HP</v>
      </c>
      <c r="BQ33" s="70" t="str">
        <f t="array" ref="BQ33">IFERROR(TRIM(_xlfn.REGEXEXTRACT(BO33,"(\d.+[%]?$|[0-9]|[A-Z]+$)")),"")</f>
        <v>3412</v>
      </c>
      <c r="BR33" s="71" t="str">
        <f>IFERROR(VLOOKUP(BP33,'사용자가 입력할 시트'!$AF$2:$AG$60,2,FALSE),BP33)</f>
        <v>체력</v>
      </c>
      <c r="BS33" s="72" t="str">
        <f t="array" ref="BS33">IFERROR(TRIM(_xlfn.REGEXEXTRACT(BQ33,"(\d+[%]?$|[A-Z]+$)")),"")</f>
        <v>3412</v>
      </c>
      <c r="BT33" s="67" t="s">
        <v>96</v>
      </c>
      <c r="BU33" s="70" t="str">
        <f t="shared" si="21"/>
        <v>HP</v>
      </c>
      <c r="BV33" s="70" t="str">
        <f t="array" ref="BV33">IFERROR(TRIM(_xlfn.REGEXEXTRACT(BT33,"(\d.+[%]?$|[0-9]|[A-Z]+$)")),"")</f>
        <v>3412</v>
      </c>
      <c r="BW33" s="71" t="str">
        <f>IFERROR(VLOOKUP(BU33,'사용자가 입력할 시트'!$AF$2:$AG$60,2,FALSE),BU33)</f>
        <v>체력</v>
      </c>
      <c r="BX33" s="72" t="str">
        <f t="array" ref="BX33">IFERROR(TRIM(_xlfn.REGEXEXTRACT(BV33,"(\d+[%]?$|[A-Z]+$)")),"")</f>
        <v>3412</v>
      </c>
      <c r="BY33" s="67" t="s">
        <v>96</v>
      </c>
      <c r="BZ33" s="70" t="str">
        <f t="shared" si="22"/>
        <v>HP</v>
      </c>
      <c r="CA33" s="70" t="str">
        <f t="array" ref="CA33">IFERROR(TRIM(_xlfn.REGEXEXTRACT(BY33,"(\d.+[%]?$|[0-9]|[A-Z]+$)")),"")</f>
        <v>3412</v>
      </c>
      <c r="CB33" s="71" t="str">
        <f>IFERROR(VLOOKUP(BZ33,'사용자가 입력할 시트'!$AF$2:$AG$60,2,FALSE),BZ33)</f>
        <v>체력</v>
      </c>
      <c r="CC33" s="72" t="str">
        <f t="array" ref="CC33">IFERROR(TRIM(_xlfn.REGEXEXTRACT(CA33,"(\d+[%]?$|[A-Z]+$)")),"")</f>
        <v>3412</v>
      </c>
    </row>
    <row r="34" spans="2:81">
      <c r="B34" s="112"/>
      <c r="C34" s="101"/>
      <c r="D34" s="16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9"/>
      <c r="Q34" s="58"/>
      <c r="W34" s="2" t="str">
        <f t="shared" ca="1" si="10"/>
        <v/>
      </c>
      <c r="X34" s="2" t="str">
        <f t="shared" ca="1" si="11"/>
        <v/>
      </c>
      <c r="Y34" s="2" t="str">
        <f t="shared" ca="1" si="12"/>
        <v/>
      </c>
      <c r="Z34" s="42" t="str">
        <f t="shared" ref="Z34" ca="1" si="48">IF(Y32="","",$Y$4&amp;" :"&amp;Y32&amp;IF(Y32=Y33,"","("&amp;Y33&amp;")"))</f>
        <v>야외 :B()</v>
      </c>
      <c r="AC34" s="4" t="s">
        <v>192</v>
      </c>
      <c r="AD34" s="4" t="str">
        <f>_xlfn.LET(_xlpm.titleCell, MATCH($AC$34, BC:BC, 0),_xlpm.nextTitleCell, IFERROR(_xlfn.AGGREGATE(15, 6, ROW($BC$2:$BC$100)/(LEFT($BC$2:$BC$100,1)="≪")/(ROW($BC$2:$BC$100)&gt;_xlpm.titleCell), 1), ROWS(BC:BC)+1),_xlpm.startRow, _xlpm.titleCell + 1,_xlpm.endRow, _xlpm.nextTitleCell - 1,_xlpm.colStart, COLUMN($BC$2),_xlpm.colEnd, _xlpm.colStart + 1,ADDRESS(_xlpm.startRow, _xlpm.colStart) &amp; ":" &amp; ADDRESS(_xlpm.endRow, _xlpm.colEnd))</f>
        <v>$BC$57:$BD$59</v>
      </c>
      <c r="AF34" s="67" t="s">
        <v>49</v>
      </c>
      <c r="AG34" s="70" t="str">
        <f t="shared" si="13"/>
        <v>回避値</v>
      </c>
      <c r="AH34" s="70" t="str">
        <f t="array" ref="AH34">IFERROR(TRIM(_xlfn.REGEXEXTRACT(AF34,"(\d.+[%]?$|[0-9]|[A-Z]+$)")),"")</f>
        <v>190</v>
      </c>
      <c r="AI34" s="71" t="str">
        <f>IFERROR(VLOOKUP(AG34,'사용자가 입력할 시트'!$AF$2:$AG$60,2,FALSE),AG34)</f>
        <v>회피 수치</v>
      </c>
      <c r="AJ34" s="72" t="str">
        <f t="array" ref="AJ34">IFERROR(TRIM(_xlfn.REGEXEXTRACT(AH34,"(\d+[%]?$|[A-Z]+$)")),"")</f>
        <v>190</v>
      </c>
      <c r="AK34" s="67" t="s">
        <v>49</v>
      </c>
      <c r="AL34" s="70" t="str">
        <f t="shared" si="14"/>
        <v>回避値</v>
      </c>
      <c r="AM34" s="70" t="str">
        <f t="array" ref="AM34">IFERROR(TRIM(_xlfn.REGEXEXTRACT(AK34,"(\d.+[%]?$|[0-9]|[A-Z]+$)")),"")</f>
        <v>190</v>
      </c>
      <c r="AN34" s="71" t="str">
        <f>IFERROR(VLOOKUP(AL34,'사용자가 입력할 시트'!$AF$2:$AG$60,2,FALSE),AL34)</f>
        <v>회피 수치</v>
      </c>
      <c r="AO34" s="72" t="str">
        <f t="array" ref="AO34">IFERROR(TRIM(_xlfn.REGEXEXTRACT(AM34,"(\d+[%]?$|[A-Z]+$)")),"")</f>
        <v>190</v>
      </c>
      <c r="AP34" s="67" t="s">
        <v>49</v>
      </c>
      <c r="AQ34" s="70" t="str">
        <f t="shared" si="15"/>
        <v>回避値</v>
      </c>
      <c r="AR34" s="70" t="str">
        <f t="array" ref="AR34">IFERROR(TRIM(_xlfn.REGEXEXTRACT(AP34,"(\d.+[%]?$|[0-9]|[A-Z]+$)")),"")</f>
        <v>190</v>
      </c>
      <c r="AS34" s="71" t="str">
        <f>IFERROR(VLOOKUP(AQ34,'사용자가 입력할 시트'!$AF$2:$AG$60,2,FALSE),AQ34)</f>
        <v>회피 수치</v>
      </c>
      <c r="AT34" s="72" t="str">
        <f t="array" ref="AT34">IFERROR(TRIM(_xlfn.REGEXEXTRACT(AR34,"(\d+[%]?$|[A-Z]+$)")),"")</f>
        <v>190</v>
      </c>
      <c r="AU34" s="67"/>
      <c r="AV34" s="70" t="str">
        <f t="shared" si="16"/>
        <v/>
      </c>
      <c r="AW34" s="70" t="str">
        <f t="array" ref="AW34">IFERROR(TRIM(_xlfn.REGEXEXTRACT(AU34,"(\d.+[%]?$|[0-9]|[A-Z]+$)")),"")</f>
        <v/>
      </c>
      <c r="AX34" s="71" t="str">
        <f>IFERROR(VLOOKUP(AV34,'사용자가 입력할 시트'!$AF$2:$AG$60,2,FALSE),AV34)</f>
        <v/>
      </c>
      <c r="AY34" s="72" t="str">
        <f t="array" ref="AY34">IFERROR(TRIM(_xlfn.REGEXEXTRACT(AW34,"(\d+[%]?$|[A-Z]+$)")),"")</f>
        <v/>
      </c>
      <c r="AZ34" s="67"/>
      <c r="BA34" s="70" t="str">
        <f t="shared" si="17"/>
        <v/>
      </c>
      <c r="BB34" s="70" t="str">
        <f t="array" ref="BB34">IFERROR(TRIM(_xlfn.REGEXEXTRACT(AZ34,"(\d.+[%]?$|[0-9]|[A-Z]+$)")),"")</f>
        <v/>
      </c>
      <c r="BC34" s="71" t="str">
        <f>IFERROR(VLOOKUP(BA34,'사용자가 입력할 시트'!$AF$2:$AG$60,2,FALSE),BA34)</f>
        <v/>
      </c>
      <c r="BD34" s="72" t="str">
        <f t="array" ref="BD34">IFERROR(TRIM(_xlfn.REGEXEXTRACT(BB34,"(\d+[%]?$|[A-Z]+$)")),"")</f>
        <v/>
      </c>
      <c r="BE34" s="67"/>
      <c r="BF34" s="70" t="str">
        <f t="shared" si="18"/>
        <v/>
      </c>
      <c r="BG34" s="70" t="str">
        <f t="array" ref="BG34">IFERROR(TRIM(_xlfn.REGEXEXTRACT(BE34,"(\d.+[%]?$|[0-9]|[A-Z]+$)")),"")</f>
        <v/>
      </c>
      <c r="BH34" s="71" t="str">
        <f>IFERROR(VLOOKUP(BF34,'사용자가 입력할 시트'!$AF$2:$AG$60,2,FALSE),BF34)</f>
        <v/>
      </c>
      <c r="BI34" s="72" t="str">
        <f t="array" ref="BI34">IFERROR(TRIM(_xlfn.REGEXEXTRACT(BG34,"(\d+[%]?$|[A-Z]+$)")),"")</f>
        <v/>
      </c>
      <c r="BJ34" s="67"/>
      <c r="BK34" s="70" t="str">
        <f t="shared" si="19"/>
        <v/>
      </c>
      <c r="BL34" s="70" t="str">
        <f t="array" ref="BL34">IFERROR(TRIM(_xlfn.REGEXEXTRACT(BJ34,"(\d.+[%]?$|[0-9]|[A-Z]+$)")),"")</f>
        <v/>
      </c>
      <c r="BM34" s="71" t="str">
        <f>IFERROR(VLOOKUP(BK34,'사용자가 입력할 시트'!$AF$2:$AG$60,2,FALSE),BK34)</f>
        <v/>
      </c>
      <c r="BN34" s="72" t="str">
        <f t="array" ref="BN34">IFERROR(TRIM(_xlfn.REGEXEXTRACT(BL34,"(\d+[%]?$|[A-Z]+$)")),"")</f>
        <v/>
      </c>
      <c r="BO34" s="67"/>
      <c r="BP34" s="70" t="str">
        <f t="shared" si="20"/>
        <v/>
      </c>
      <c r="BQ34" s="70" t="str">
        <f t="array" ref="BQ34">IFERROR(TRIM(_xlfn.REGEXEXTRACT(BO34,"(\d.+[%]?$|[0-9]|[A-Z]+$)")),"")</f>
        <v/>
      </c>
      <c r="BR34" s="71" t="str">
        <f>IFERROR(VLOOKUP(BP34,'사용자가 입력할 시트'!$AF$2:$AG$60,2,FALSE),BP34)</f>
        <v/>
      </c>
      <c r="BS34" s="72" t="str">
        <f t="array" ref="BS34">IFERROR(TRIM(_xlfn.REGEXEXTRACT(BQ34,"(\d+[%]?$|[A-Z]+$)")),"")</f>
        <v/>
      </c>
      <c r="BT34" s="67"/>
      <c r="BU34" s="70" t="str">
        <f t="shared" si="21"/>
        <v/>
      </c>
      <c r="BV34" s="70" t="str">
        <f t="array" ref="BV34">IFERROR(TRIM(_xlfn.REGEXEXTRACT(BT34,"(\d.+[%]?$|[0-9]|[A-Z]+$)")),"")</f>
        <v/>
      </c>
      <c r="BW34" s="71" t="str">
        <f>IFERROR(VLOOKUP(BU34,'사용자가 입력할 시트'!$AF$2:$AG$60,2,FALSE),BU34)</f>
        <v/>
      </c>
      <c r="BX34" s="72" t="str">
        <f t="array" ref="BX34">IFERROR(TRIM(_xlfn.REGEXEXTRACT(BV34,"(\d+[%]?$|[A-Z]+$)")),"")</f>
        <v/>
      </c>
      <c r="BY34" s="67"/>
      <c r="BZ34" s="70" t="str">
        <f t="shared" si="22"/>
        <v/>
      </c>
      <c r="CA34" s="70" t="str">
        <f t="array" ref="CA34">IFERROR(TRIM(_xlfn.REGEXEXTRACT(BY34,"(\d.+[%]?$|[0-9]|[A-Z]+$)")),"")</f>
        <v/>
      </c>
      <c r="CB34" s="71" t="str">
        <f>IFERROR(VLOOKUP(BZ34,'사용자가 입력할 시트'!$AF$2:$AG$60,2,FALSE),BZ34)</f>
        <v/>
      </c>
      <c r="CC34" s="72" t="str">
        <f t="array" ref="CC34">IFERROR(TRIM(_xlfn.REGEXEXTRACT(CA34,"(\d+[%]?$|[A-Z]+$)")),"")</f>
        <v/>
      </c>
    </row>
    <row r="35" spans="2:81" ht="16.5" customHeight="1">
      <c r="B35" s="112"/>
      <c r="C35" s="102" t="s">
        <v>174</v>
      </c>
      <c r="D35" s="22"/>
      <c r="E35" s="23"/>
      <c r="F35" s="23"/>
      <c r="G35" s="23"/>
      <c r="H35" s="22"/>
      <c r="I35" s="23"/>
      <c r="J35" s="23"/>
      <c r="K35" s="23"/>
      <c r="L35" s="23"/>
      <c r="M35" s="23"/>
      <c r="N35" s="23"/>
      <c r="O35" s="23"/>
      <c r="P35" s="24"/>
      <c r="Q35" s="59"/>
      <c r="W35" s="2" t="str">
        <f t="shared" ca="1" si="10"/>
        <v>S</v>
      </c>
      <c r="X35" s="2" t="str">
        <f t="shared" ca="1" si="11"/>
        <v>D</v>
      </c>
      <c r="Y35" s="2" t="str">
        <f t="shared" ca="1" si="12"/>
        <v>B</v>
      </c>
      <c r="Z35" s="42" t="str">
        <f t="shared" ref="Z35" ca="1" si="49">IF(W35="","",$W$4&amp;" :"&amp;W35&amp;IF(W35=W36,"","("&amp;W36&amp;")"))</f>
        <v>시가 :S()</v>
      </c>
      <c r="AC35" s="42" t="s">
        <v>193</v>
      </c>
      <c r="AD35" s="4" t="str">
        <f>_xlfn.LET(_xlpm.titleCell, MATCH($AC$35, BC:BC, 0),_xlpm.nextTitleCell, IFERROR(_xlfn.AGGREGATE(15, 6, ROW($BC$2:$BC$100)/(LEFT($BC$2:$BC$100,1)="≪")/(ROW($BC$2:$BC$100)&gt;_xlpm.titleCell), 1), ROWS(BC:BC)+1),_xlpm.startRow, _xlpm.titleCell + 1,_xlpm.endRow, _xlpm.nextTitleCell - 1,_xlpm.colStart, COLUMN($BC$2),_xlpm.colEnd, _xlpm.colStart + 1,ADDRESS(_xlpm.startRow, _xlpm.colStart) &amp; ":" &amp; ADDRESS(_xlpm.endRow, _xlpm.colEnd))</f>
        <v>$BC$61:$BD$63</v>
      </c>
      <c r="AF35" s="68" t="s">
        <v>177</v>
      </c>
      <c r="AG35" s="70" t="str">
        <f t="shared" si="13"/>
        <v>会心ダメージ</v>
      </c>
      <c r="AH35" s="70" t="str">
        <f t="array" ref="AH35">IFERROR(TRIM(_xlfn.REGEXEXTRACT(AF35,"(\d.+[%]?$|[0-9]|[A-Z]+$)")),"")</f>
        <v>245%</v>
      </c>
      <c r="AI35" s="71" t="str">
        <f>IFERROR(VLOOKUP(AG35,'사용자가 입력할 시트'!$AF$2:$AG$60,2,FALSE),AG35)</f>
        <v>치명대미지</v>
      </c>
      <c r="AJ35" s="72" t="str">
        <f t="array" ref="AJ35">IFERROR(TRIM(_xlfn.REGEXEXTRACT(AH35,"(\d+[%]?$|[A-Z]+$)")),"")</f>
        <v>245%</v>
      </c>
      <c r="AK35" s="68" t="s">
        <v>177</v>
      </c>
      <c r="AL35" s="70" t="str">
        <f t="shared" si="14"/>
        <v>会心ダメージ</v>
      </c>
      <c r="AM35" s="70" t="str">
        <f t="array" ref="AM35">IFERROR(TRIM(_xlfn.REGEXEXTRACT(AK35,"(\d.+[%]?$|[0-9]|[A-Z]+$)")),"")</f>
        <v>245%</v>
      </c>
      <c r="AN35" s="71" t="str">
        <f>IFERROR(VLOOKUP(AL35,'사용자가 입력할 시트'!$AF$2:$AG$60,2,FALSE),AL35)</f>
        <v>치명대미지</v>
      </c>
      <c r="AO35" s="72" t="str">
        <f t="array" ref="AO35">IFERROR(TRIM(_xlfn.REGEXEXTRACT(AM35,"(\d+[%]?$|[A-Z]+$)")),"")</f>
        <v>245%</v>
      </c>
      <c r="AP35" s="68" t="s">
        <v>177</v>
      </c>
      <c r="AQ35" s="70" t="str">
        <f t="shared" si="15"/>
        <v>会心ダメージ</v>
      </c>
      <c r="AR35" s="70" t="str">
        <f t="array" ref="AR35">IFERROR(TRIM(_xlfn.REGEXEXTRACT(AP35,"(\d.+[%]?$|[0-9]|[A-Z]+$)")),"")</f>
        <v>245%</v>
      </c>
      <c r="AS35" s="71" t="str">
        <f>IFERROR(VLOOKUP(AQ35,'사용자가 입력할 시트'!$AF$2:$AG$60,2,FALSE),AQ35)</f>
        <v>치명대미지</v>
      </c>
      <c r="AT35" s="72" t="str">
        <f t="array" ref="AT35">IFERROR(TRIM(_xlfn.REGEXEXTRACT(AR35,"(\d+[%]?$|[A-Z]+$)")),"")</f>
        <v>245%</v>
      </c>
      <c r="AU35" s="67" t="s">
        <v>142</v>
      </c>
      <c r="AV35" s="70" t="str">
        <f t="shared" si="16"/>
        <v>≪★5 / 90레벨≫</v>
      </c>
      <c r="AW35" s="70" t="str">
        <f t="array" ref="AW35">IFERROR(TRIM(_xlfn.REGEXEXTRACT(AU35,"(\d.+[%]?$|[0-9]|[A-Z]+$)")),"")</f>
        <v>5 / 90레벨≫</v>
      </c>
      <c r="AX35" s="71" t="str">
        <f>IFERROR(VLOOKUP(AV35,'사용자가 입력할 시트'!$AF$2:$AG$60,2,FALSE),AV35)</f>
        <v>≪★5 / 90레벨≫</v>
      </c>
      <c r="AY35" s="72" t="str">
        <f t="array" ref="AY35">IFERROR(TRIM(_xlfn.REGEXEXTRACT(AW35,"(\d+[%]?$|[A-Z]+$)")),"")</f>
        <v/>
      </c>
      <c r="AZ35" s="67" t="s">
        <v>142</v>
      </c>
      <c r="BA35" s="70" t="str">
        <f t="shared" si="17"/>
        <v>≪★5 / 90레벨≫</v>
      </c>
      <c r="BB35" s="70" t="str">
        <f t="array" ref="BB35">IFERROR(TRIM(_xlfn.REGEXEXTRACT(AZ35,"(\d.+[%]?$|[0-9]|[A-Z]+$)")),"")</f>
        <v>5 / 90레벨≫</v>
      </c>
      <c r="BC35" s="71" t="str">
        <f>IFERROR(VLOOKUP(BA35,'사용자가 입력할 시트'!$AF$2:$AG$60,2,FALSE),BA35)</f>
        <v>≪★5 / 90레벨≫</v>
      </c>
      <c r="BD35" s="72" t="str">
        <f t="array" ref="BD35">IFERROR(TRIM(_xlfn.REGEXEXTRACT(BB35,"(\d+[%]?$|[A-Z]+$)")),"")</f>
        <v/>
      </c>
      <c r="BE35" s="67" t="s">
        <v>142</v>
      </c>
      <c r="BF35" s="70" t="str">
        <f t="shared" si="18"/>
        <v>≪★5 / 90레벨≫</v>
      </c>
      <c r="BG35" s="70" t="str">
        <f t="array" ref="BG35">IFERROR(TRIM(_xlfn.REGEXEXTRACT(BE35,"(\d.+[%]?$|[0-9]|[A-Z]+$)")),"")</f>
        <v>5 / 90레벨≫</v>
      </c>
      <c r="BH35" s="71" t="str">
        <f>IFERROR(VLOOKUP(BF35,'사용자가 입력할 시트'!$AF$2:$AG$60,2,FALSE),BF35)</f>
        <v>≪★5 / 90레벨≫</v>
      </c>
      <c r="BI35" s="72" t="str">
        <f t="array" ref="BI35">IFERROR(TRIM(_xlfn.REGEXEXTRACT(BG35,"(\d+[%]?$|[A-Z]+$)")),"")</f>
        <v/>
      </c>
      <c r="BJ35" s="67" t="s">
        <v>142</v>
      </c>
      <c r="BK35" s="70" t="str">
        <f t="shared" si="19"/>
        <v>≪★5 / 90레벨≫</v>
      </c>
      <c r="BL35" s="70" t="str">
        <f t="array" ref="BL35">IFERROR(TRIM(_xlfn.REGEXEXTRACT(BJ35,"(\d.+[%]?$|[0-9]|[A-Z]+$)")),"")</f>
        <v>5 / 90레벨≫</v>
      </c>
      <c r="BM35" s="71" t="str">
        <f>IFERROR(VLOOKUP(BK35,'사용자가 입력할 시트'!$AF$2:$AG$60,2,FALSE),BK35)</f>
        <v>≪★5 / 90레벨≫</v>
      </c>
      <c r="BN35" s="72" t="str">
        <f t="array" ref="BN35">IFERROR(TRIM(_xlfn.REGEXEXTRACT(BL35,"(\d+[%]?$|[A-Z]+$)")),"")</f>
        <v/>
      </c>
      <c r="BO35" s="67" t="s">
        <v>142</v>
      </c>
      <c r="BP35" s="70" t="str">
        <f t="shared" si="20"/>
        <v>≪★5 / 90레벨≫</v>
      </c>
      <c r="BQ35" s="70" t="str">
        <f t="array" ref="BQ35">IFERROR(TRIM(_xlfn.REGEXEXTRACT(BO35,"(\d.+[%]?$|[0-9]|[A-Z]+$)")),"")</f>
        <v>5 / 90레벨≫</v>
      </c>
      <c r="BR35" s="71" t="str">
        <f>IFERROR(VLOOKUP(BP35,'사용자가 입력할 시트'!$AF$2:$AG$60,2,FALSE),BP35)</f>
        <v>≪★5 / 90레벨≫</v>
      </c>
      <c r="BS35" s="72" t="str">
        <f t="array" ref="BS35">IFERROR(TRIM(_xlfn.REGEXEXTRACT(BQ35,"(\d+[%]?$|[A-Z]+$)")),"")</f>
        <v/>
      </c>
      <c r="BT35" s="67" t="s">
        <v>142</v>
      </c>
      <c r="BU35" s="70" t="str">
        <f t="shared" si="21"/>
        <v>≪★5 / 90레벨≫</v>
      </c>
      <c r="BV35" s="70" t="str">
        <f t="array" ref="BV35">IFERROR(TRIM(_xlfn.REGEXEXTRACT(BT35,"(\d.+[%]?$|[0-9]|[A-Z]+$)")),"")</f>
        <v>5 / 90레벨≫</v>
      </c>
      <c r="BW35" s="71" t="str">
        <f>IFERROR(VLOOKUP(BU35,'사용자가 입력할 시트'!$AF$2:$AG$60,2,FALSE),BU35)</f>
        <v>≪★5 / 90레벨≫</v>
      </c>
      <c r="BX35" s="72" t="str">
        <f t="array" ref="BX35">IFERROR(TRIM(_xlfn.REGEXEXTRACT(BV35,"(\d+[%]?$|[A-Z]+$)")),"")</f>
        <v/>
      </c>
      <c r="BY35" s="67" t="s">
        <v>142</v>
      </c>
      <c r="BZ35" s="70" t="str">
        <f t="shared" si="22"/>
        <v>≪★5 / 90레벨≫</v>
      </c>
      <c r="CA35" s="70" t="str">
        <f t="array" ref="CA35">IFERROR(TRIM(_xlfn.REGEXEXTRACT(BY35,"(\d.+[%]?$|[0-9]|[A-Z]+$)")),"")</f>
        <v>5 / 90레벨≫</v>
      </c>
      <c r="CB35" s="71" t="str">
        <f>IFERROR(VLOOKUP(BZ35,'사용자가 입력할 시트'!$AF$2:$AG$60,2,FALSE),BZ35)</f>
        <v>≪★5 / 90레벨≫</v>
      </c>
      <c r="CC35" s="72" t="str">
        <f t="array" ref="CC35">IFERROR(TRIM(_xlfn.REGEXEXTRACT(CA35,"(\d+[%]?$|[A-Z]+$)")),"")</f>
        <v/>
      </c>
    </row>
    <row r="36" spans="2:81" ht="16.5" customHeight="1">
      <c r="B36" s="113"/>
      <c r="C36" s="101"/>
      <c r="D36" s="29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9"/>
      <c r="Q36" s="58"/>
      <c r="W36" s="2" t="str">
        <f t="shared" ca="1" si="10"/>
        <v/>
      </c>
      <c r="X36" s="2" t="str">
        <f t="shared" ca="1" si="11"/>
        <v/>
      </c>
      <c r="Y36" s="2" t="str">
        <f t="shared" ca="1" si="12"/>
        <v/>
      </c>
      <c r="Z36" s="42" t="str">
        <f t="shared" ref="Z36" ca="1" si="50">IF(X35="","",$X$4&amp;" :"&amp;X35&amp;IF(X35=X36,"","("&amp;X36&amp;")"))</f>
        <v>실내 :D()</v>
      </c>
      <c r="AB36" s="1" t="s">
        <v>195</v>
      </c>
      <c r="AC36" s="42" t="s">
        <v>183</v>
      </c>
      <c r="AD36" s="4" t="str">
        <f>_xlfn.LET(_xlpm.titleCell, MATCH($AC$36, BH:BH, 0),_xlpm.nextTitleCell, IFERROR(_xlfn.AGGREGATE(15, 6, ROW($BH$2:$BH$100)/(LEFT($BH$2:$BH$100,1)="≪")/(ROW($BH$2:$BH$100)&gt;_xlpm.titleCell), 1), ROWS(BH:BH)+1),_xlpm.startRow, _xlpm.titleCell + 1,_xlpm.endRow, _xlpm.nextTitleCell - 1,_xlpm.colStart, COLUMN($BH$2),_xlpm.colEnd, _xlpm.colStart + 1,ADDRESS(_xlpm.startRow, _xlpm.colStart) &amp; ":" &amp; ADDRESS(_xlpm.endRow, _xlpm.colEnd))</f>
        <v>$BH$6:$BI$25</v>
      </c>
      <c r="AF36" s="67" t="s">
        <v>54</v>
      </c>
      <c r="AG36" s="70" t="str">
        <f t="shared" si="13"/>
        <v>安定値</v>
      </c>
      <c r="AH36" s="70" t="str">
        <f t="array" ref="AH36">IFERROR(TRIM(_xlfn.REGEXEXTRACT(AF36,"(\d.+[%]?$|[0-9]|[A-Z]+$)")),"")</f>
        <v>1900</v>
      </c>
      <c r="AI36" s="71" t="str">
        <f>IFERROR(VLOOKUP(AG36,'사용자가 입력할 시트'!$AF$2:$AG$60,2,FALSE),AG36)</f>
        <v>안정 수치</v>
      </c>
      <c r="AJ36" s="72" t="str">
        <f t="array" ref="AJ36">IFERROR(TRIM(_xlfn.REGEXEXTRACT(AH36,"(\d+[%]?$|[A-Z]+$)")),"")</f>
        <v>1900</v>
      </c>
      <c r="AK36" s="67" t="s">
        <v>54</v>
      </c>
      <c r="AL36" s="70" t="str">
        <f t="shared" si="14"/>
        <v>安定値</v>
      </c>
      <c r="AM36" s="70" t="str">
        <f t="array" ref="AM36">IFERROR(TRIM(_xlfn.REGEXEXTRACT(AK36,"(\d.+[%]?$|[0-9]|[A-Z]+$)")),"")</f>
        <v>1900</v>
      </c>
      <c r="AN36" s="71" t="str">
        <f>IFERROR(VLOOKUP(AL36,'사용자가 입력할 시트'!$AF$2:$AG$60,2,FALSE),AL36)</f>
        <v>안정 수치</v>
      </c>
      <c r="AO36" s="72" t="str">
        <f t="array" ref="AO36">IFERROR(TRIM(_xlfn.REGEXEXTRACT(AM36,"(\d+[%]?$|[A-Z]+$)")),"")</f>
        <v>1900</v>
      </c>
      <c r="AP36" s="67" t="s">
        <v>54</v>
      </c>
      <c r="AQ36" s="70" t="str">
        <f t="shared" si="15"/>
        <v>安定値</v>
      </c>
      <c r="AR36" s="70" t="str">
        <f t="array" ref="AR36">IFERROR(TRIM(_xlfn.REGEXEXTRACT(AP36,"(\d.+[%]?$|[0-9]|[A-Z]+$)")),"")</f>
        <v>1900</v>
      </c>
      <c r="AS36" s="71" t="str">
        <f>IFERROR(VLOOKUP(AQ36,'사용자가 입력할 시트'!$AF$2:$AG$60,2,FALSE),AQ36)</f>
        <v>안정 수치</v>
      </c>
      <c r="AT36" s="72" t="str">
        <f t="array" ref="AT36">IFERROR(TRIM(_xlfn.REGEXEXTRACT(AR36,"(\d+[%]?$|[A-Z]+$)")),"")</f>
        <v>1900</v>
      </c>
      <c r="AU36" s="67" t="s">
        <v>128</v>
      </c>
      <c r="AV36" s="70" t="str">
        <f t="shared" si="16"/>
        <v>HP</v>
      </c>
      <c r="AW36" s="70" t="str">
        <f t="array" ref="AW36">IFERROR(TRIM(_xlfn.REGEXEXTRACT(AU36,"(\d.+[%]?$|[0-9]|[A-Z]+$)")),"")</f>
        <v>44302</v>
      </c>
      <c r="AX36" s="71" t="str">
        <f>IFERROR(VLOOKUP(AV36,'사용자가 입력할 시트'!$AF$2:$AG$60,2,FALSE),AV36)</f>
        <v>체력</v>
      </c>
      <c r="AY36" s="72" t="str">
        <f t="array" ref="AY36">IFERROR(TRIM(_xlfn.REGEXEXTRACT(AW36,"(\d+[%]?$|[A-Z]+$)")),"")</f>
        <v>44302</v>
      </c>
      <c r="AZ36" s="67" t="s">
        <v>128</v>
      </c>
      <c r="BA36" s="70" t="str">
        <f t="shared" si="17"/>
        <v>HP</v>
      </c>
      <c r="BB36" s="70" t="str">
        <f t="array" ref="BB36">IFERROR(TRIM(_xlfn.REGEXEXTRACT(AZ36,"(\d.+[%]?$|[0-9]|[A-Z]+$)")),"")</f>
        <v>44302</v>
      </c>
      <c r="BC36" s="71" t="str">
        <f>IFERROR(VLOOKUP(BA36,'사용자가 입력할 시트'!$AF$2:$AG$60,2,FALSE),BA36)</f>
        <v>체력</v>
      </c>
      <c r="BD36" s="72" t="str">
        <f t="array" ref="BD36">IFERROR(TRIM(_xlfn.REGEXEXTRACT(BB36,"(\d+[%]?$|[A-Z]+$)")),"")</f>
        <v>44302</v>
      </c>
      <c r="BE36" s="67" t="s">
        <v>128</v>
      </c>
      <c r="BF36" s="70" t="str">
        <f t="shared" si="18"/>
        <v>HP</v>
      </c>
      <c r="BG36" s="70" t="str">
        <f t="array" ref="BG36">IFERROR(TRIM(_xlfn.REGEXEXTRACT(BE36,"(\d.+[%]?$|[0-9]|[A-Z]+$)")),"")</f>
        <v>44302</v>
      </c>
      <c r="BH36" s="71" t="str">
        <f>IFERROR(VLOOKUP(BF36,'사용자가 입력할 시트'!$AF$2:$AG$60,2,FALSE),BF36)</f>
        <v>체력</v>
      </c>
      <c r="BI36" s="72" t="str">
        <f t="array" ref="BI36">IFERROR(TRIM(_xlfn.REGEXEXTRACT(BG36,"(\d+[%]?$|[A-Z]+$)")),"")</f>
        <v>44302</v>
      </c>
      <c r="BJ36" s="67" t="s">
        <v>128</v>
      </c>
      <c r="BK36" s="70" t="str">
        <f t="shared" si="19"/>
        <v>HP</v>
      </c>
      <c r="BL36" s="70" t="str">
        <f t="array" ref="BL36">IFERROR(TRIM(_xlfn.REGEXEXTRACT(BJ36,"(\d.+[%]?$|[0-9]|[A-Z]+$)")),"")</f>
        <v>44302</v>
      </c>
      <c r="BM36" s="71" t="str">
        <f>IFERROR(VLOOKUP(BK36,'사용자가 입력할 시트'!$AF$2:$AG$60,2,FALSE),BK36)</f>
        <v>체력</v>
      </c>
      <c r="BN36" s="72" t="str">
        <f t="array" ref="BN36">IFERROR(TRIM(_xlfn.REGEXEXTRACT(BL36,"(\d+[%]?$|[A-Z]+$)")),"")</f>
        <v>44302</v>
      </c>
      <c r="BO36" s="67" t="s">
        <v>128</v>
      </c>
      <c r="BP36" s="70" t="str">
        <f t="shared" si="20"/>
        <v>HP</v>
      </c>
      <c r="BQ36" s="70" t="str">
        <f t="array" ref="BQ36">IFERROR(TRIM(_xlfn.REGEXEXTRACT(BO36,"(\d.+[%]?$|[0-9]|[A-Z]+$)")),"")</f>
        <v>44302</v>
      </c>
      <c r="BR36" s="71" t="str">
        <f>IFERROR(VLOOKUP(BP36,'사용자가 입력할 시트'!$AF$2:$AG$60,2,FALSE),BP36)</f>
        <v>체력</v>
      </c>
      <c r="BS36" s="72" t="str">
        <f t="array" ref="BS36">IFERROR(TRIM(_xlfn.REGEXEXTRACT(BQ36,"(\d+[%]?$|[A-Z]+$)")),"")</f>
        <v>44302</v>
      </c>
      <c r="BT36" s="67" t="s">
        <v>128</v>
      </c>
      <c r="BU36" s="70" t="str">
        <f t="shared" si="21"/>
        <v>HP</v>
      </c>
      <c r="BV36" s="70" t="str">
        <f t="array" ref="BV36">IFERROR(TRIM(_xlfn.REGEXEXTRACT(BT36,"(\d.+[%]?$|[0-9]|[A-Z]+$)")),"")</f>
        <v>44302</v>
      </c>
      <c r="BW36" s="71" t="str">
        <f>IFERROR(VLOOKUP(BU36,'사용자가 입력할 시트'!$AF$2:$AG$60,2,FALSE),BU36)</f>
        <v>체력</v>
      </c>
      <c r="BX36" s="72" t="str">
        <f t="array" ref="BX36">IFERROR(TRIM(_xlfn.REGEXEXTRACT(BV36,"(\d+[%]?$|[A-Z]+$)")),"")</f>
        <v>44302</v>
      </c>
      <c r="BY36" s="67" t="s">
        <v>128</v>
      </c>
      <c r="BZ36" s="70" t="str">
        <f t="shared" si="22"/>
        <v>HP</v>
      </c>
      <c r="CA36" s="70" t="str">
        <f t="array" ref="CA36">IFERROR(TRIM(_xlfn.REGEXEXTRACT(BY36,"(\d.+[%]?$|[0-9]|[A-Z]+$)")),"")</f>
        <v>44302</v>
      </c>
      <c r="CB36" s="71" t="str">
        <f>IFERROR(VLOOKUP(BZ36,'사용자가 입력할 시트'!$AF$2:$AG$60,2,FALSE),BZ36)</f>
        <v>체력</v>
      </c>
      <c r="CC36" s="72" t="str">
        <f t="array" ref="CC36">IFERROR(TRIM(_xlfn.REGEXEXTRACT(CA36,"(\d+[%]?$|[A-Z]+$)")),"")</f>
        <v>44302</v>
      </c>
    </row>
    <row r="37" spans="2:81" ht="16.5" customHeight="1">
      <c r="B37" s="60"/>
      <c r="C37" s="98"/>
      <c r="D37" s="22"/>
      <c r="E37" s="23"/>
      <c r="F37" s="23"/>
      <c r="G37" s="23"/>
      <c r="H37" s="23"/>
      <c r="I37" s="22"/>
      <c r="J37" s="22"/>
      <c r="K37" s="22"/>
      <c r="L37" s="22"/>
      <c r="M37" s="23"/>
      <c r="N37" s="23"/>
      <c r="O37" s="22"/>
      <c r="P37" s="27"/>
      <c r="Q37" s="61"/>
      <c r="W37" s="2" t="str">
        <f t="shared" ca="1" si="10"/>
        <v/>
      </c>
      <c r="X37" s="2" t="str">
        <f t="shared" ca="1" si="11"/>
        <v/>
      </c>
      <c r="Y37" s="2" t="str">
        <f t="shared" ca="1" si="12"/>
        <v/>
      </c>
      <c r="Z37" s="42" t="str">
        <f t="shared" ref="Z37" ca="1" si="51">IF(Y35="","",$Y$4&amp;" :"&amp;Y35&amp;IF(Y35=Y36,"","("&amp;Y36&amp;")"))</f>
        <v>야외 :B()</v>
      </c>
      <c r="AC37" s="42" t="s">
        <v>185</v>
      </c>
      <c r="AD37" s="4" t="str">
        <f>_xlfn.LET(_xlpm.titleCell, MATCH($AC$37, BH:BH, 0),_xlpm.nextTitleCell, IFERROR(_xlfn.AGGREGATE(15, 6, ROW($BH$2:$BH$100)/(LEFT($BH$2:$BH$100,1)="≪")/(ROW($BH$2:$BH$100)&gt;_xlpm.titleCell), 1), ROWS(BH:BH)+1),_xlpm.startRow, _xlpm.titleCell + 1,_xlpm.endRow, _xlpm.nextTitleCell - 1,_xlpm.colStart, COLUMN($BH$2),_xlpm.colEnd, _xlpm.colStart + 1,ADDRESS(_xlpm.startRow, _xlpm.colStart) &amp; ":" &amp; ADDRESS(_xlpm.endRow, _xlpm.colEnd))</f>
        <v>$BH$27:$BI$29</v>
      </c>
      <c r="AF37" s="67" t="s">
        <v>95</v>
      </c>
      <c r="AG37" s="70" t="str">
        <f t="shared" si="13"/>
        <v>射程距離</v>
      </c>
      <c r="AH37" s="70" t="str">
        <f t="array" ref="AH37">IFERROR(TRIM(_xlfn.REGEXEXTRACT(AF37,"(\d.+[%]?$|[0-9]|[A-Z]+$)")),"")</f>
        <v>750</v>
      </c>
      <c r="AI37" s="71" t="str">
        <f>IFERROR(VLOOKUP(AG37,'사용자가 입력할 시트'!$AF$2:$AG$60,2,FALSE),AG37)</f>
        <v>사정거리</v>
      </c>
      <c r="AJ37" s="72" t="str">
        <f t="array" ref="AJ37">IFERROR(TRIM(_xlfn.REGEXEXTRACT(AH37,"(\d+[%]?$|[A-Z]+$)")),"")</f>
        <v>750</v>
      </c>
      <c r="AK37" s="67" t="s">
        <v>95</v>
      </c>
      <c r="AL37" s="70" t="str">
        <f t="shared" si="14"/>
        <v>射程距離</v>
      </c>
      <c r="AM37" s="70" t="str">
        <f t="array" ref="AM37">IFERROR(TRIM(_xlfn.REGEXEXTRACT(AK37,"(\d.+[%]?$|[0-9]|[A-Z]+$)")),"")</f>
        <v>750</v>
      </c>
      <c r="AN37" s="71" t="str">
        <f>IFERROR(VLOOKUP(AL37,'사용자가 입력할 시트'!$AF$2:$AG$60,2,FALSE),AL37)</f>
        <v>사정거리</v>
      </c>
      <c r="AO37" s="72" t="str">
        <f t="array" ref="AO37">IFERROR(TRIM(_xlfn.REGEXEXTRACT(AM37,"(\d+[%]?$|[A-Z]+$)")),"")</f>
        <v>750</v>
      </c>
      <c r="AP37" s="67" t="s">
        <v>95</v>
      </c>
      <c r="AQ37" s="70" t="str">
        <f t="shared" si="15"/>
        <v>射程距離</v>
      </c>
      <c r="AR37" s="70" t="str">
        <f t="array" ref="AR37">IFERROR(TRIM(_xlfn.REGEXEXTRACT(AP37,"(\d.+[%]?$|[0-9]|[A-Z]+$)")),"")</f>
        <v>750</v>
      </c>
      <c r="AS37" s="71" t="str">
        <f>IFERROR(VLOOKUP(AQ37,'사용자가 입력할 시트'!$AF$2:$AG$60,2,FALSE),AQ37)</f>
        <v>사정거리</v>
      </c>
      <c r="AT37" s="72" t="str">
        <f t="array" ref="AT37">IFERROR(TRIM(_xlfn.REGEXEXTRACT(AR37,"(\d+[%]?$|[A-Z]+$)")),"")</f>
        <v>750</v>
      </c>
      <c r="AU37" s="67" t="s">
        <v>83</v>
      </c>
      <c r="AV37" s="70" t="str">
        <f t="shared" si="16"/>
        <v>防御力</v>
      </c>
      <c r="AW37" s="70" t="str">
        <f t="array" ref="AW37">IFERROR(TRIM(_xlfn.REGEXEXTRACT(AU37,"(\d.+[%]?$|[0-9]|[A-Z]+$)")),"")</f>
        <v>104</v>
      </c>
      <c r="AX37" s="71" t="str">
        <f>IFERROR(VLOOKUP(AV37,'사용자가 입력할 시트'!$AF$2:$AG$60,2,FALSE),AV37)</f>
        <v>방어력</v>
      </c>
      <c r="AY37" s="72" t="str">
        <f t="array" ref="AY37">IFERROR(TRIM(_xlfn.REGEXEXTRACT(AW37,"(\d+[%]?$|[A-Z]+$)")),"")</f>
        <v>104</v>
      </c>
      <c r="AZ37" s="67" t="s">
        <v>83</v>
      </c>
      <c r="BA37" s="70" t="str">
        <f t="shared" si="17"/>
        <v>防御力</v>
      </c>
      <c r="BB37" s="70" t="str">
        <f t="array" ref="BB37">IFERROR(TRIM(_xlfn.REGEXEXTRACT(AZ37,"(\d.+[%]?$|[0-9]|[A-Z]+$)")),"")</f>
        <v>104</v>
      </c>
      <c r="BC37" s="71" t="str">
        <f>IFERROR(VLOOKUP(BA37,'사용자가 입력할 시트'!$AF$2:$AG$60,2,FALSE),BA37)</f>
        <v>방어력</v>
      </c>
      <c r="BD37" s="72" t="str">
        <f t="array" ref="BD37">IFERROR(TRIM(_xlfn.REGEXEXTRACT(BB37,"(\d+[%]?$|[A-Z]+$)")),"")</f>
        <v>104</v>
      </c>
      <c r="BE37" s="67" t="s">
        <v>83</v>
      </c>
      <c r="BF37" s="70" t="str">
        <f t="shared" si="18"/>
        <v>防御力</v>
      </c>
      <c r="BG37" s="70" t="str">
        <f t="array" ref="BG37">IFERROR(TRIM(_xlfn.REGEXEXTRACT(BE37,"(\d.+[%]?$|[0-9]|[A-Z]+$)")),"")</f>
        <v>104</v>
      </c>
      <c r="BH37" s="71" t="str">
        <f>IFERROR(VLOOKUP(BF37,'사용자가 입력할 시트'!$AF$2:$AG$60,2,FALSE),BF37)</f>
        <v>방어력</v>
      </c>
      <c r="BI37" s="72" t="str">
        <f t="array" ref="BI37">IFERROR(TRIM(_xlfn.REGEXEXTRACT(BG37,"(\d+[%]?$|[A-Z]+$)")),"")</f>
        <v>104</v>
      </c>
      <c r="BJ37" s="67" t="s">
        <v>83</v>
      </c>
      <c r="BK37" s="70" t="str">
        <f t="shared" si="19"/>
        <v>防御力</v>
      </c>
      <c r="BL37" s="70" t="str">
        <f t="array" ref="BL37">IFERROR(TRIM(_xlfn.REGEXEXTRACT(BJ37,"(\d.+[%]?$|[0-9]|[A-Z]+$)")),"")</f>
        <v>104</v>
      </c>
      <c r="BM37" s="71" t="str">
        <f>IFERROR(VLOOKUP(BK37,'사용자가 입력할 시트'!$AF$2:$AG$60,2,FALSE),BK37)</f>
        <v>방어력</v>
      </c>
      <c r="BN37" s="72" t="str">
        <f t="array" ref="BN37">IFERROR(TRIM(_xlfn.REGEXEXTRACT(BL37,"(\d+[%]?$|[A-Z]+$)")),"")</f>
        <v>104</v>
      </c>
      <c r="BO37" s="67" t="s">
        <v>83</v>
      </c>
      <c r="BP37" s="70" t="str">
        <f t="shared" si="20"/>
        <v>防御力</v>
      </c>
      <c r="BQ37" s="70" t="str">
        <f t="array" ref="BQ37">IFERROR(TRIM(_xlfn.REGEXEXTRACT(BO37,"(\d.+[%]?$|[0-9]|[A-Z]+$)")),"")</f>
        <v>104</v>
      </c>
      <c r="BR37" s="71" t="str">
        <f>IFERROR(VLOOKUP(BP37,'사용자가 입력할 시트'!$AF$2:$AG$60,2,FALSE),BP37)</f>
        <v>방어력</v>
      </c>
      <c r="BS37" s="72" t="str">
        <f t="array" ref="BS37">IFERROR(TRIM(_xlfn.REGEXEXTRACT(BQ37,"(\d+[%]?$|[A-Z]+$)")),"")</f>
        <v>104</v>
      </c>
      <c r="BT37" s="67" t="s">
        <v>83</v>
      </c>
      <c r="BU37" s="70" t="str">
        <f t="shared" si="21"/>
        <v>防御力</v>
      </c>
      <c r="BV37" s="70" t="str">
        <f t="array" ref="BV37">IFERROR(TRIM(_xlfn.REGEXEXTRACT(BT37,"(\d.+[%]?$|[0-9]|[A-Z]+$)")),"")</f>
        <v>104</v>
      </c>
      <c r="BW37" s="71" t="str">
        <f>IFERROR(VLOOKUP(BU37,'사용자가 입력할 시트'!$AF$2:$AG$60,2,FALSE),BU37)</f>
        <v>방어력</v>
      </c>
      <c r="BX37" s="72" t="str">
        <f t="array" ref="BX37">IFERROR(TRIM(_xlfn.REGEXEXTRACT(BV37,"(\d+[%]?$|[A-Z]+$)")),"")</f>
        <v>104</v>
      </c>
      <c r="BY37" s="67" t="s">
        <v>83</v>
      </c>
      <c r="BZ37" s="70" t="str">
        <f t="shared" si="22"/>
        <v>防御力</v>
      </c>
      <c r="CA37" s="70" t="str">
        <f t="array" ref="CA37">IFERROR(TRIM(_xlfn.REGEXEXTRACT(BY37,"(\d.+[%]?$|[0-9]|[A-Z]+$)")),"")</f>
        <v>104</v>
      </c>
      <c r="CB37" s="71" t="str">
        <f>IFERROR(VLOOKUP(BZ37,'사용자가 입력할 시트'!$AF$2:$AG$60,2,FALSE),BZ37)</f>
        <v>방어력</v>
      </c>
      <c r="CC37" s="72" t="str">
        <f t="array" ref="CC37">IFERROR(TRIM(_xlfn.REGEXEXTRACT(CA37,"(\d+[%]?$|[A-Z]+$)")),"")</f>
        <v>104</v>
      </c>
    </row>
    <row r="38" spans="2:81" ht="16.5" customHeight="1">
      <c r="B38" s="60" t="s">
        <v>167</v>
      </c>
      <c r="C38" s="99"/>
      <c r="D38" s="29"/>
      <c r="E38" s="18"/>
      <c r="F38" s="18"/>
      <c r="G38" s="18"/>
      <c r="H38" s="18"/>
      <c r="I38" s="29"/>
      <c r="J38" s="29"/>
      <c r="K38" s="29"/>
      <c r="L38" s="29"/>
      <c r="M38" s="18"/>
      <c r="N38" s="18"/>
      <c r="O38" s="29"/>
      <c r="P38" s="30"/>
      <c r="Q38" s="62"/>
      <c r="W38" s="2" t="str">
        <f t="shared" ca="1" si="10"/>
        <v>SS</v>
      </c>
      <c r="X38" s="2" t="str">
        <f t="shared" ca="1" si="11"/>
        <v>D</v>
      </c>
      <c r="Y38" s="2" t="str">
        <f t="shared" ca="1" si="12"/>
        <v>B</v>
      </c>
      <c r="Z38" s="42" t="str">
        <f t="shared" ref="Z38" ca="1" si="52">IF(W38="","",$W$4&amp;" :"&amp;W38&amp;IF(W38=W39,"","("&amp;W39&amp;")"))</f>
        <v>시가 :SS()</v>
      </c>
      <c r="AC38" s="42" t="s">
        <v>186</v>
      </c>
      <c r="AD38" s="4" t="str">
        <f>_xlfn.LET(_xlpm.titleCell, MATCH($AC$38, BH:BH, 0),_xlpm.nextTitleCell, IFERROR(_xlfn.AGGREGATE(15, 6, ROW($BH$2:$BH$100)/(LEFT($BH$2:$BH$100,1)="≪")/(ROW($BH$2:$BH$100)&gt;_xlpm.titleCell), 1), ROWS(BH:BH)+1),_xlpm.startRow, _xlpm.titleCell + 1,_xlpm.endRow, _xlpm.nextTitleCell - 1,_xlpm.colStart, COLUMN($BH$2),_xlpm.colEnd, _xlpm.colStart + 1,ADDRESS(_xlpm.startRow, _xlpm.colStart) &amp; ":" &amp; ADDRESS(_xlpm.endRow, _xlpm.colEnd))</f>
        <v>$BH$31:$BI$34</v>
      </c>
      <c r="AF38" s="67" t="s">
        <v>119</v>
      </c>
      <c r="AG38" s="70" t="str">
        <f t="shared" si="13"/>
        <v>CC強化力</v>
      </c>
      <c r="AH38" s="70" t="str">
        <f t="array" ref="AH38">IFERROR(TRIM(_xlfn.REGEXEXTRACT(AF38,"(\d.+[%]?$|[0-9]|[A-Z]+$)")),"")</f>
        <v>100</v>
      </c>
      <c r="AI38" s="71" t="str">
        <f>IFERROR(VLOOKUP(AG38,'사용자가 입력할 시트'!$AF$2:$AG$60,2,FALSE),AG38)</f>
        <v>CC강화력</v>
      </c>
      <c r="AJ38" s="72" t="str">
        <f t="array" ref="AJ38">IFERROR(TRIM(_xlfn.REGEXEXTRACT(AH38,"(\d+[%]?$|[A-Z]+$)")),"")</f>
        <v>100</v>
      </c>
      <c r="AK38" s="67" t="s">
        <v>119</v>
      </c>
      <c r="AL38" s="70" t="str">
        <f t="shared" si="14"/>
        <v>CC強化力</v>
      </c>
      <c r="AM38" s="70" t="str">
        <f t="array" ref="AM38">IFERROR(TRIM(_xlfn.REGEXEXTRACT(AK38,"(\d.+[%]?$|[0-9]|[A-Z]+$)")),"")</f>
        <v>100</v>
      </c>
      <c r="AN38" s="71" t="str">
        <f>IFERROR(VLOOKUP(AL38,'사용자가 입력할 시트'!$AF$2:$AG$60,2,FALSE),AL38)</f>
        <v>CC강화력</v>
      </c>
      <c r="AO38" s="72" t="str">
        <f t="array" ref="AO38">IFERROR(TRIM(_xlfn.REGEXEXTRACT(AM38,"(\d+[%]?$|[A-Z]+$)")),"")</f>
        <v>100</v>
      </c>
      <c r="AP38" s="67" t="s">
        <v>119</v>
      </c>
      <c r="AQ38" s="70" t="str">
        <f t="shared" si="15"/>
        <v>CC強化力</v>
      </c>
      <c r="AR38" s="70" t="str">
        <f t="array" ref="AR38">IFERROR(TRIM(_xlfn.REGEXEXTRACT(AP38,"(\d.+[%]?$|[0-9]|[A-Z]+$)")),"")</f>
        <v>100</v>
      </c>
      <c r="AS38" s="71" t="str">
        <f>IFERROR(VLOOKUP(AQ38,'사용자가 입력할 시트'!$AF$2:$AG$60,2,FALSE),AQ38)</f>
        <v>CC강화력</v>
      </c>
      <c r="AT38" s="72" t="str">
        <f t="array" ref="AT38">IFERROR(TRIM(_xlfn.REGEXEXTRACT(AR38,"(\d+[%]?$|[A-Z]+$)")),"")</f>
        <v>100</v>
      </c>
      <c r="AU38" s="67" t="s">
        <v>36</v>
      </c>
      <c r="AV38" s="70" t="str">
        <f t="shared" si="16"/>
        <v>命中値</v>
      </c>
      <c r="AW38" s="70" t="str">
        <f t="array" ref="AW38">IFERROR(TRIM(_xlfn.REGEXEXTRACT(AU38,"(\d.+[%]?$|[0-9]|[A-Z]+$)")),"")</f>
        <v>944</v>
      </c>
      <c r="AX38" s="71" t="str">
        <f>IFERROR(VLOOKUP(AV38,'사용자가 입력할 시트'!$AF$2:$AG$60,2,FALSE),AV38)</f>
        <v>명중 수치</v>
      </c>
      <c r="AY38" s="72" t="str">
        <f t="array" ref="AY38">IFERROR(TRIM(_xlfn.REGEXEXTRACT(AW38,"(\d+[%]?$|[A-Z]+$)")),"")</f>
        <v>944</v>
      </c>
      <c r="AZ38" s="67" t="s">
        <v>36</v>
      </c>
      <c r="BA38" s="70" t="str">
        <f t="shared" si="17"/>
        <v>命中値</v>
      </c>
      <c r="BB38" s="70" t="str">
        <f t="array" ref="BB38">IFERROR(TRIM(_xlfn.REGEXEXTRACT(AZ38,"(\d.+[%]?$|[0-9]|[A-Z]+$)")),"")</f>
        <v>944</v>
      </c>
      <c r="BC38" s="71" t="str">
        <f>IFERROR(VLOOKUP(BA38,'사용자가 입력할 시트'!$AF$2:$AG$60,2,FALSE),BA38)</f>
        <v>명중 수치</v>
      </c>
      <c r="BD38" s="72" t="str">
        <f t="array" ref="BD38">IFERROR(TRIM(_xlfn.REGEXEXTRACT(BB38,"(\d+[%]?$|[A-Z]+$)")),"")</f>
        <v>944</v>
      </c>
      <c r="BE38" s="67" t="s">
        <v>36</v>
      </c>
      <c r="BF38" s="70" t="str">
        <f t="shared" si="18"/>
        <v>命中値</v>
      </c>
      <c r="BG38" s="70" t="str">
        <f t="array" ref="BG38">IFERROR(TRIM(_xlfn.REGEXEXTRACT(BE38,"(\d.+[%]?$|[0-9]|[A-Z]+$)")),"")</f>
        <v>944</v>
      </c>
      <c r="BH38" s="71" t="str">
        <f>IFERROR(VLOOKUP(BF38,'사용자가 입력할 시트'!$AF$2:$AG$60,2,FALSE),BF38)</f>
        <v>명중 수치</v>
      </c>
      <c r="BI38" s="72" t="str">
        <f t="array" ref="BI38">IFERROR(TRIM(_xlfn.REGEXEXTRACT(BG38,"(\d+[%]?$|[A-Z]+$)")),"")</f>
        <v>944</v>
      </c>
      <c r="BJ38" s="67" t="s">
        <v>36</v>
      </c>
      <c r="BK38" s="70" t="str">
        <f t="shared" si="19"/>
        <v>命中値</v>
      </c>
      <c r="BL38" s="70" t="str">
        <f t="array" ref="BL38">IFERROR(TRIM(_xlfn.REGEXEXTRACT(BJ38,"(\d.+[%]?$|[0-9]|[A-Z]+$)")),"")</f>
        <v>944</v>
      </c>
      <c r="BM38" s="71" t="str">
        <f>IFERROR(VLOOKUP(BK38,'사용자가 입력할 시트'!$AF$2:$AG$60,2,FALSE),BK38)</f>
        <v>명중 수치</v>
      </c>
      <c r="BN38" s="72" t="str">
        <f t="array" ref="BN38">IFERROR(TRIM(_xlfn.REGEXEXTRACT(BL38,"(\d+[%]?$|[A-Z]+$)")),"")</f>
        <v>944</v>
      </c>
      <c r="BO38" s="67" t="s">
        <v>36</v>
      </c>
      <c r="BP38" s="70" t="str">
        <f t="shared" si="20"/>
        <v>命中値</v>
      </c>
      <c r="BQ38" s="70" t="str">
        <f t="array" ref="BQ38">IFERROR(TRIM(_xlfn.REGEXEXTRACT(BO38,"(\d.+[%]?$|[0-9]|[A-Z]+$)")),"")</f>
        <v>944</v>
      </c>
      <c r="BR38" s="71" t="str">
        <f>IFERROR(VLOOKUP(BP38,'사용자가 입력할 시트'!$AF$2:$AG$60,2,FALSE),BP38)</f>
        <v>명중 수치</v>
      </c>
      <c r="BS38" s="72" t="str">
        <f t="array" ref="BS38">IFERROR(TRIM(_xlfn.REGEXEXTRACT(BQ38,"(\d+[%]?$|[A-Z]+$)")),"")</f>
        <v>944</v>
      </c>
      <c r="BT38" s="67" t="s">
        <v>36</v>
      </c>
      <c r="BU38" s="70" t="str">
        <f t="shared" si="21"/>
        <v>命中値</v>
      </c>
      <c r="BV38" s="70" t="str">
        <f t="array" ref="BV38">IFERROR(TRIM(_xlfn.REGEXEXTRACT(BT38,"(\d.+[%]?$|[0-9]|[A-Z]+$)")),"")</f>
        <v>944</v>
      </c>
      <c r="BW38" s="71" t="str">
        <f>IFERROR(VLOOKUP(BU38,'사용자가 입력할 시트'!$AF$2:$AG$60,2,FALSE),BU38)</f>
        <v>명중 수치</v>
      </c>
      <c r="BX38" s="72" t="str">
        <f t="array" ref="BX38">IFERROR(TRIM(_xlfn.REGEXEXTRACT(BV38,"(\d+[%]?$|[A-Z]+$)")),"")</f>
        <v>944</v>
      </c>
      <c r="BY38" s="67" t="s">
        <v>36</v>
      </c>
      <c r="BZ38" s="70" t="str">
        <f t="shared" si="22"/>
        <v>命中値</v>
      </c>
      <c r="CA38" s="70" t="str">
        <f t="array" ref="CA38">IFERROR(TRIM(_xlfn.REGEXEXTRACT(BY38,"(\d.+[%]?$|[0-9]|[A-Z]+$)")),"")</f>
        <v>944</v>
      </c>
      <c r="CB38" s="71" t="str">
        <f>IFERROR(VLOOKUP(BZ38,'사용자가 입력할 시트'!$AF$2:$AG$60,2,FALSE),BZ38)</f>
        <v>명중 수치</v>
      </c>
      <c r="CC38" s="72" t="str">
        <f t="array" ref="CC38">IFERROR(TRIM(_xlfn.REGEXEXTRACT(CA38,"(\d+[%]?$|[A-Z]+$)")),"")</f>
        <v>944</v>
      </c>
    </row>
    <row r="39" spans="2:81">
      <c r="B39" s="75"/>
      <c r="C39" s="99"/>
      <c r="D39" s="76"/>
      <c r="E39" s="77"/>
      <c r="F39" s="77"/>
      <c r="G39" s="77"/>
      <c r="H39" s="77"/>
      <c r="I39" s="76"/>
      <c r="J39" s="76"/>
      <c r="K39" s="76"/>
      <c r="L39" s="76"/>
      <c r="M39" s="77"/>
      <c r="N39" s="77"/>
      <c r="O39" s="76"/>
      <c r="P39" s="78"/>
      <c r="Q39" s="79"/>
      <c r="W39" s="2" t="str">
        <f t="shared" ca="1" si="10"/>
        <v/>
      </c>
      <c r="X39" s="2" t="str">
        <f t="shared" ca="1" si="11"/>
        <v/>
      </c>
      <c r="Y39" s="2" t="str">
        <f t="shared" ca="1" si="12"/>
        <v/>
      </c>
      <c r="Z39" s="42" t="str">
        <f t="shared" ref="Z39" ca="1" si="53">IF(X38="","",$X$4&amp;" :"&amp;X38&amp;IF(X38=X39,"","("&amp;X39&amp;")"))</f>
        <v>실내 :D()</v>
      </c>
      <c r="AC39" s="42" t="s">
        <v>184</v>
      </c>
      <c r="AD39" s="4" t="str">
        <f>_xlfn.LET(_xlpm.titleCell, MATCH($AC$39, BH:BH, 0),_xlpm.nextTitleCell, IFERROR(_xlfn.AGGREGATE(15, 6, ROW($BH$2:$BH$100)/(LEFT($BH$2:$BH$100,1)="≪")/(ROW($BH$2:$BH$100)&gt;_xlpm.titleCell), 1), ROWS(BH:BH)+1),_xlpm.startRow, _xlpm.titleCell + 1,_xlpm.endRow, _xlpm.nextTitleCell - 1,_xlpm.colStart, COLUMN($BH$2),_xlpm.colEnd, _xlpm.colStart + 1,ADDRESS(_xlpm.startRow, _xlpm.colStart) &amp; ":" &amp; ADDRESS(_xlpm.endRow, _xlpm.colEnd))</f>
        <v>$BH$36:$BI$55</v>
      </c>
      <c r="AF39" s="68" t="s">
        <v>132</v>
      </c>
      <c r="AG39" s="70" t="str">
        <f t="shared" si="13"/>
        <v>振動特効</v>
      </c>
      <c r="AH39" s="70" t="str">
        <f t="array" ref="AH39">IFERROR(TRIM(_xlfn.REGEXEXTRACT(AF39,"(\d.+[%]?$|[0-9]|[A-Z]+$)")),"")</f>
        <v>210%</v>
      </c>
      <c r="AI39" s="71" t="str">
        <f>IFERROR(VLOOKUP(AG39,'사용자가 입력할 시트'!$AF$2:$AG$60,2,FALSE),AG39)</f>
        <v>진동특효</v>
      </c>
      <c r="AJ39" s="72" t="str">
        <f t="array" ref="AJ39">IFERROR(TRIM(_xlfn.REGEXEXTRACT(AH39,"(\d+[%]?$|[A-Z]+$)")),"")</f>
        <v>210%</v>
      </c>
      <c r="AK39" s="68" t="s">
        <v>132</v>
      </c>
      <c r="AL39" s="70" t="str">
        <f t="shared" si="14"/>
        <v>振動特効</v>
      </c>
      <c r="AM39" s="70" t="str">
        <f t="array" ref="AM39">IFERROR(TRIM(_xlfn.REGEXEXTRACT(AK39,"(\d.+[%]?$|[0-9]|[A-Z]+$)")),"")</f>
        <v>210%</v>
      </c>
      <c r="AN39" s="71" t="str">
        <f>IFERROR(VLOOKUP(AL39,'사용자가 입력할 시트'!$AF$2:$AG$60,2,FALSE),AL39)</f>
        <v>진동특효</v>
      </c>
      <c r="AO39" s="72" t="str">
        <f t="array" ref="AO39">IFERROR(TRIM(_xlfn.REGEXEXTRACT(AM39,"(\d+[%]?$|[A-Z]+$)")),"")</f>
        <v>210%</v>
      </c>
      <c r="AP39" s="68" t="s">
        <v>132</v>
      </c>
      <c r="AQ39" s="70" t="str">
        <f t="shared" si="15"/>
        <v>振動特効</v>
      </c>
      <c r="AR39" s="70" t="str">
        <f t="array" ref="AR39">IFERROR(TRIM(_xlfn.REGEXEXTRACT(AP39,"(\d.+[%]?$|[0-9]|[A-Z]+$)")),"")</f>
        <v>210%</v>
      </c>
      <c r="AS39" s="71" t="str">
        <f>IFERROR(VLOOKUP(AQ39,'사용자가 입력할 시트'!$AF$2:$AG$60,2,FALSE),AQ39)</f>
        <v>진동특효</v>
      </c>
      <c r="AT39" s="72" t="str">
        <f t="array" ref="AT39">IFERROR(TRIM(_xlfn.REGEXEXTRACT(AR39,"(\d+[%]?$|[A-Z]+$)")),"")</f>
        <v>210%</v>
      </c>
      <c r="AU39" s="68" t="s">
        <v>129</v>
      </c>
      <c r="AV39" s="70" t="str">
        <f t="shared" si="16"/>
        <v>会心値</v>
      </c>
      <c r="AW39" s="70" t="str">
        <f t="array" ref="AW39">IFERROR(TRIM(_xlfn.REGEXEXTRACT(AU39,"(\d.+[%]?$|[0-9]|[A-Z]+$)")),"")</f>
        <v>799</v>
      </c>
      <c r="AX39" s="71" t="str">
        <f>IFERROR(VLOOKUP(AV39,'사용자가 입력할 시트'!$AF$2:$AG$60,2,FALSE),AV39)</f>
        <v>치명 수치</v>
      </c>
      <c r="AY39" s="72" t="str">
        <f t="array" ref="AY39">IFERROR(TRIM(_xlfn.REGEXEXTRACT(AW39,"(\d+[%]?$|[A-Z]+$)")),"")</f>
        <v>799</v>
      </c>
      <c r="AZ39" s="68" t="s">
        <v>129</v>
      </c>
      <c r="BA39" s="70" t="str">
        <f t="shared" si="17"/>
        <v>会心値</v>
      </c>
      <c r="BB39" s="70" t="str">
        <f t="array" ref="BB39">IFERROR(TRIM(_xlfn.REGEXEXTRACT(AZ39,"(\d.+[%]?$|[0-9]|[A-Z]+$)")),"")</f>
        <v>799</v>
      </c>
      <c r="BC39" s="71" t="str">
        <f>IFERROR(VLOOKUP(BA39,'사용자가 입력할 시트'!$AF$2:$AG$60,2,FALSE),BA39)</f>
        <v>치명 수치</v>
      </c>
      <c r="BD39" s="72" t="str">
        <f t="array" ref="BD39">IFERROR(TRIM(_xlfn.REGEXEXTRACT(BB39,"(\d+[%]?$|[A-Z]+$)")),"")</f>
        <v>799</v>
      </c>
      <c r="BE39" s="68" t="s">
        <v>129</v>
      </c>
      <c r="BF39" s="70" t="str">
        <f t="shared" si="18"/>
        <v>会心値</v>
      </c>
      <c r="BG39" s="70" t="str">
        <f t="array" ref="BG39">IFERROR(TRIM(_xlfn.REGEXEXTRACT(BE39,"(\d.+[%]?$|[0-9]|[A-Z]+$)")),"")</f>
        <v>799</v>
      </c>
      <c r="BH39" s="71" t="str">
        <f>IFERROR(VLOOKUP(BF39,'사용자가 입력할 시트'!$AF$2:$AG$60,2,FALSE),BF39)</f>
        <v>치명 수치</v>
      </c>
      <c r="BI39" s="72" t="str">
        <f t="array" ref="BI39">IFERROR(TRIM(_xlfn.REGEXEXTRACT(BG39,"(\d+[%]?$|[A-Z]+$)")),"")</f>
        <v>799</v>
      </c>
      <c r="BJ39" s="68" t="s">
        <v>129</v>
      </c>
      <c r="BK39" s="70" t="str">
        <f t="shared" si="19"/>
        <v>会心値</v>
      </c>
      <c r="BL39" s="70" t="str">
        <f t="array" ref="BL39">IFERROR(TRIM(_xlfn.REGEXEXTRACT(BJ39,"(\d.+[%]?$|[0-9]|[A-Z]+$)")),"")</f>
        <v>799</v>
      </c>
      <c r="BM39" s="71" t="str">
        <f>IFERROR(VLOOKUP(BK39,'사용자가 입력할 시트'!$AF$2:$AG$60,2,FALSE),BK39)</f>
        <v>치명 수치</v>
      </c>
      <c r="BN39" s="72" t="str">
        <f t="array" ref="BN39">IFERROR(TRIM(_xlfn.REGEXEXTRACT(BL39,"(\d+[%]?$|[A-Z]+$)")),"")</f>
        <v>799</v>
      </c>
      <c r="BO39" s="68" t="s">
        <v>129</v>
      </c>
      <c r="BP39" s="70" t="str">
        <f t="shared" si="20"/>
        <v>会心値</v>
      </c>
      <c r="BQ39" s="70" t="str">
        <f t="array" ref="BQ39">IFERROR(TRIM(_xlfn.REGEXEXTRACT(BO39,"(\d.+[%]?$|[0-9]|[A-Z]+$)")),"")</f>
        <v>799</v>
      </c>
      <c r="BR39" s="71" t="str">
        <f>IFERROR(VLOOKUP(BP39,'사용자가 입력할 시트'!$AF$2:$AG$60,2,FALSE),BP39)</f>
        <v>치명 수치</v>
      </c>
      <c r="BS39" s="72" t="str">
        <f t="array" ref="BS39">IFERROR(TRIM(_xlfn.REGEXEXTRACT(BQ39,"(\d+[%]?$|[A-Z]+$)")),"")</f>
        <v>799</v>
      </c>
      <c r="BT39" s="68" t="s">
        <v>129</v>
      </c>
      <c r="BU39" s="70" t="str">
        <f t="shared" si="21"/>
        <v>会心値</v>
      </c>
      <c r="BV39" s="70" t="str">
        <f t="array" ref="BV39">IFERROR(TRIM(_xlfn.REGEXEXTRACT(BT39,"(\d.+[%]?$|[0-9]|[A-Z]+$)")),"")</f>
        <v>799</v>
      </c>
      <c r="BW39" s="71" t="str">
        <f>IFERROR(VLOOKUP(BU39,'사용자가 입력할 시트'!$AF$2:$AG$60,2,FALSE),BU39)</f>
        <v>치명 수치</v>
      </c>
      <c r="BX39" s="72" t="str">
        <f t="array" ref="BX39">IFERROR(TRIM(_xlfn.REGEXEXTRACT(BV39,"(\d+[%]?$|[A-Z]+$)")),"")</f>
        <v>799</v>
      </c>
      <c r="BY39" s="68" t="s">
        <v>129</v>
      </c>
      <c r="BZ39" s="70" t="str">
        <f t="shared" si="22"/>
        <v>会心値</v>
      </c>
      <c r="CA39" s="70" t="str">
        <f t="array" ref="CA39">IFERROR(TRIM(_xlfn.REGEXEXTRACT(BY39,"(\d.+[%]?$|[0-9]|[A-Z]+$)")),"")</f>
        <v>799</v>
      </c>
      <c r="CB39" s="71" t="str">
        <f>IFERROR(VLOOKUP(BZ39,'사용자가 입력할 시트'!$AF$2:$AG$60,2,FALSE),BZ39)</f>
        <v>치명 수치</v>
      </c>
      <c r="CC39" s="72" t="str">
        <f t="array" ref="CC39">IFERROR(TRIM(_xlfn.REGEXEXTRACT(CA39,"(\d+[%]?$|[A-Z]+$)")),"")</f>
        <v>799</v>
      </c>
    </row>
    <row r="40" spans="2:81" ht="17.25" customHeight="1">
      <c r="B40" s="75"/>
      <c r="C40" s="91" t="s">
        <v>173</v>
      </c>
      <c r="D40" s="76"/>
      <c r="E40" s="77"/>
      <c r="F40" s="77"/>
      <c r="G40" s="77"/>
      <c r="H40" s="77"/>
      <c r="I40" s="76"/>
      <c r="J40" s="76"/>
      <c r="K40" s="76"/>
      <c r="L40" s="76"/>
      <c r="M40" s="77"/>
      <c r="N40" s="77"/>
      <c r="O40" s="76"/>
      <c r="P40" s="78"/>
      <c r="Q40" s="79"/>
      <c r="W40" s="2" t="str">
        <f t="shared" ca="1" si="10"/>
        <v/>
      </c>
      <c r="X40" s="2" t="str">
        <f t="shared" ca="1" si="11"/>
        <v/>
      </c>
      <c r="Y40" s="2" t="str">
        <f t="shared" ca="1" si="12"/>
        <v/>
      </c>
      <c r="Z40" s="42" t="str">
        <f t="shared" ref="Z40" ca="1" si="54">IF(Y38="","",$Y$4&amp;" :"&amp;Y38&amp;IF(Y38=Y39,"","("&amp;Y39&amp;")"))</f>
        <v>야외 :B()</v>
      </c>
      <c r="AC40" s="42" t="s">
        <v>192</v>
      </c>
      <c r="AD40" s="4" t="str">
        <f>_xlfn.LET(_xlpm.titleCell, MATCH($AC$40, BH:BH, 0),_xlpm.nextTitleCell, IFERROR(_xlfn.AGGREGATE(15, 6, ROW($BH$2:$BH$100)/(LEFT($BH$2:$BH$100,1)="≪")/(ROW($BH$2:$BH$100)&gt;_xlpm.titleCell), 1), ROWS(BH:BH)+1),_xlpm.startRow, _xlpm.titleCell + 1,_xlpm.endRow, _xlpm.nextTitleCell - 1,_xlpm.colStart, COLUMN($BH$2),_xlpm.colEnd, _xlpm.colStart + 1,ADDRESS(_xlpm.startRow, _xlpm.colStart) &amp; ":" &amp; ADDRESS(_xlpm.endRow, _xlpm.colEnd))</f>
        <v>$BH$57:$BI$59</v>
      </c>
      <c r="AF40" s="67" t="s">
        <v>133</v>
      </c>
      <c r="AG40" s="70" t="str">
        <f t="shared" si="13"/>
        <v>市街地戦闘力</v>
      </c>
      <c r="AH40" s="70" t="str">
        <f t="array" ref="AH40">IFERROR(TRIM(_xlfn.REGEXEXTRACT(AF40,"(\d.+[%]?$|[0-9]|[A-Z]+$)")),"")</f>
        <v>SS</v>
      </c>
      <c r="AI40" s="71" t="str">
        <f>IFERROR(VLOOKUP(AG40,'사용자가 입력할 시트'!$AF$2:$AG$60,2,FALSE),AG40)</f>
        <v>시가</v>
      </c>
      <c r="AJ40" s="72" t="str">
        <f t="array" ref="AJ40">IFERROR(TRIM(_xlfn.REGEXEXTRACT(AH40,"(\d+[%]?$|[A-Z]+$)")),"")</f>
        <v>SS</v>
      </c>
      <c r="AK40" s="67" t="s">
        <v>133</v>
      </c>
      <c r="AL40" s="70" t="str">
        <f t="shared" si="14"/>
        <v>市街地戦闘力</v>
      </c>
      <c r="AM40" s="70" t="str">
        <f t="array" ref="AM40">IFERROR(TRIM(_xlfn.REGEXEXTRACT(AK40,"(\d.+[%]?$|[0-9]|[A-Z]+$)")),"")</f>
        <v>SS</v>
      </c>
      <c r="AN40" s="71" t="str">
        <f>IFERROR(VLOOKUP(AL40,'사용자가 입력할 시트'!$AF$2:$AG$60,2,FALSE),AL40)</f>
        <v>시가</v>
      </c>
      <c r="AO40" s="72" t="str">
        <f t="array" ref="AO40">IFERROR(TRIM(_xlfn.REGEXEXTRACT(AM40,"(\d+[%]?$|[A-Z]+$)")),"")</f>
        <v>SS</v>
      </c>
      <c r="AP40" s="67" t="s">
        <v>133</v>
      </c>
      <c r="AQ40" s="70" t="str">
        <f t="shared" si="15"/>
        <v>市街地戦闘力</v>
      </c>
      <c r="AR40" s="70" t="str">
        <f t="array" ref="AR40">IFERROR(TRIM(_xlfn.REGEXEXTRACT(AP40,"(\d.+[%]?$|[0-9]|[A-Z]+$)")),"")</f>
        <v>SS</v>
      </c>
      <c r="AS40" s="71" t="str">
        <f>IFERROR(VLOOKUP(AQ40,'사용자가 입력할 시트'!$AF$2:$AG$60,2,FALSE),AQ40)</f>
        <v>시가</v>
      </c>
      <c r="AT40" s="72" t="str">
        <f t="array" ref="AT40">IFERROR(TRIM(_xlfn.REGEXEXTRACT(AR40,"(\d+[%]?$|[A-Z]+$)")),"")</f>
        <v>SS</v>
      </c>
      <c r="AU40" s="67" t="s">
        <v>43</v>
      </c>
      <c r="AV40" s="70" t="str">
        <f t="shared" si="16"/>
        <v>防御貫通値</v>
      </c>
      <c r="AW40" s="70" t="str">
        <f t="array" ref="AW40">IFERROR(TRIM(_xlfn.REGEXEXTRACT(AU40,"(\d.+[%]?$|[0-9]|[A-Z]+$)")),"")</f>
        <v>0</v>
      </c>
      <c r="AX40" s="71" t="str">
        <f>IFERROR(VLOOKUP(AV40,'사용자가 입력할 시트'!$AF$2:$AG$60,2,FALSE),AV40)</f>
        <v>방어관통</v>
      </c>
      <c r="AY40" s="72" t="str">
        <f t="array" ref="AY40">IFERROR(TRIM(_xlfn.REGEXEXTRACT(AW40,"(\d+[%]?$|[A-Z]+$)")),"")</f>
        <v>0</v>
      </c>
      <c r="AZ40" s="67" t="s">
        <v>43</v>
      </c>
      <c r="BA40" s="70" t="str">
        <f t="shared" si="17"/>
        <v>防御貫通値</v>
      </c>
      <c r="BB40" s="70" t="str">
        <f t="array" ref="BB40">IFERROR(TRIM(_xlfn.REGEXEXTRACT(AZ40,"(\d.+[%]?$|[0-9]|[A-Z]+$)")),"")</f>
        <v>0</v>
      </c>
      <c r="BC40" s="71" t="str">
        <f>IFERROR(VLOOKUP(BA40,'사용자가 입력할 시트'!$AF$2:$AG$60,2,FALSE),BA40)</f>
        <v>방어관통</v>
      </c>
      <c r="BD40" s="72" t="str">
        <f t="array" ref="BD40">IFERROR(TRIM(_xlfn.REGEXEXTRACT(BB40,"(\d+[%]?$|[A-Z]+$)")),"")</f>
        <v>0</v>
      </c>
      <c r="BE40" s="67" t="s">
        <v>43</v>
      </c>
      <c r="BF40" s="70" t="str">
        <f t="shared" si="18"/>
        <v>防御貫通値</v>
      </c>
      <c r="BG40" s="70" t="str">
        <f t="array" ref="BG40">IFERROR(TRIM(_xlfn.REGEXEXTRACT(BE40,"(\d.+[%]?$|[0-9]|[A-Z]+$)")),"")</f>
        <v>0</v>
      </c>
      <c r="BH40" s="71" t="str">
        <f>IFERROR(VLOOKUP(BF40,'사용자가 입력할 시트'!$AF$2:$AG$60,2,FALSE),BF40)</f>
        <v>방어관통</v>
      </c>
      <c r="BI40" s="72" t="str">
        <f t="array" ref="BI40">IFERROR(TRIM(_xlfn.REGEXEXTRACT(BG40,"(\d+[%]?$|[A-Z]+$)")),"")</f>
        <v>0</v>
      </c>
      <c r="BJ40" s="67" t="s">
        <v>43</v>
      </c>
      <c r="BK40" s="70" t="str">
        <f t="shared" si="19"/>
        <v>防御貫通値</v>
      </c>
      <c r="BL40" s="70" t="str">
        <f t="array" ref="BL40">IFERROR(TRIM(_xlfn.REGEXEXTRACT(BJ40,"(\d.+[%]?$|[0-9]|[A-Z]+$)")),"")</f>
        <v>0</v>
      </c>
      <c r="BM40" s="71" t="str">
        <f>IFERROR(VLOOKUP(BK40,'사용자가 입력할 시트'!$AF$2:$AG$60,2,FALSE),BK40)</f>
        <v>방어관통</v>
      </c>
      <c r="BN40" s="72" t="str">
        <f t="array" ref="BN40">IFERROR(TRIM(_xlfn.REGEXEXTRACT(BL40,"(\d+[%]?$|[A-Z]+$)")),"")</f>
        <v>0</v>
      </c>
      <c r="BO40" s="67" t="s">
        <v>43</v>
      </c>
      <c r="BP40" s="70" t="str">
        <f t="shared" si="20"/>
        <v>防御貫通値</v>
      </c>
      <c r="BQ40" s="70" t="str">
        <f t="array" ref="BQ40">IFERROR(TRIM(_xlfn.REGEXEXTRACT(BO40,"(\d.+[%]?$|[0-9]|[A-Z]+$)")),"")</f>
        <v>0</v>
      </c>
      <c r="BR40" s="71" t="str">
        <f>IFERROR(VLOOKUP(BP40,'사용자가 입력할 시트'!$AF$2:$AG$60,2,FALSE),BP40)</f>
        <v>방어관통</v>
      </c>
      <c r="BS40" s="72" t="str">
        <f t="array" ref="BS40">IFERROR(TRIM(_xlfn.REGEXEXTRACT(BQ40,"(\d+[%]?$|[A-Z]+$)")),"")</f>
        <v>0</v>
      </c>
      <c r="BT40" s="67" t="s">
        <v>43</v>
      </c>
      <c r="BU40" s="70" t="str">
        <f t="shared" si="21"/>
        <v>防御貫通値</v>
      </c>
      <c r="BV40" s="70" t="str">
        <f t="array" ref="BV40">IFERROR(TRIM(_xlfn.REGEXEXTRACT(BT40,"(\d.+[%]?$|[0-9]|[A-Z]+$)")),"")</f>
        <v>0</v>
      </c>
      <c r="BW40" s="71" t="str">
        <f>IFERROR(VLOOKUP(BU40,'사용자가 입력할 시트'!$AF$2:$AG$60,2,FALSE),BU40)</f>
        <v>방어관통</v>
      </c>
      <c r="BX40" s="72" t="str">
        <f t="array" ref="BX40">IFERROR(TRIM(_xlfn.REGEXEXTRACT(BV40,"(\d+[%]?$|[A-Z]+$)")),"")</f>
        <v>0</v>
      </c>
      <c r="BY40" s="67" t="s">
        <v>43</v>
      </c>
      <c r="BZ40" s="70" t="str">
        <f t="shared" si="22"/>
        <v>防御貫通値</v>
      </c>
      <c r="CA40" s="70" t="str">
        <f t="array" ref="CA40">IFERROR(TRIM(_xlfn.REGEXEXTRACT(BY40,"(\d.+[%]?$|[0-9]|[A-Z]+$)")),"")</f>
        <v>0</v>
      </c>
      <c r="CB40" s="71" t="str">
        <f>IFERROR(VLOOKUP(BZ40,'사용자가 입력할 시트'!$AF$2:$AG$60,2,FALSE),BZ40)</f>
        <v>방어관통</v>
      </c>
      <c r="CC40" s="72" t="str">
        <f t="array" ref="CC40">IFERROR(TRIM(_xlfn.REGEXEXTRACT(CA40,"(\d+[%]?$|[A-Z]+$)")),"")</f>
        <v>0</v>
      </c>
    </row>
    <row r="41" spans="2:81">
      <c r="B41" s="63"/>
      <c r="C41" s="83" t="s">
        <v>174</v>
      </c>
      <c r="W41" s="2" t="str">
        <f t="shared" ca="1" si="10"/>
        <v>S</v>
      </c>
      <c r="X41" s="2" t="str">
        <f t="shared" ca="1" si="11"/>
        <v>D</v>
      </c>
      <c r="Y41" s="2" t="str">
        <f t="shared" ca="1" si="12"/>
        <v>B</v>
      </c>
      <c r="Z41" s="42" t="str">
        <f t="shared" ref="Z41" ca="1" si="55">IF(W41="","",$W$4&amp;" :"&amp;W41&amp;IF(W41=W42,"","("&amp;W42&amp;")"))</f>
        <v>시가 :S()</v>
      </c>
      <c r="AC41" s="4" t="s">
        <v>193</v>
      </c>
      <c r="AD41" s="4" t="str">
        <f>_xlfn.LET(_xlpm.titleCell, MATCH($AC$41, BH:BH, 0),_xlpm.nextTitleCell, IFERROR(_xlfn.AGGREGATE(15, 6, ROW($BH$2:$BH$100)/(LEFT($BH$2:$BH$100,1)="≪")/(ROW($BH$2:$BH$100)&gt;_xlpm.titleCell), 1), ROWS(BH:BH)+1),_xlpm.startRow, _xlpm.titleCell + 1,_xlpm.endRow, _xlpm.nextTitleCell - 1,_xlpm.colStart, COLUMN($BH$2),_xlpm.colEnd, _xlpm.colStart + 1,ADDRESS(_xlpm.startRow, _xlpm.colStart) &amp; ":" &amp; ADDRESS(_xlpm.endRow, _xlpm.colEnd))</f>
        <v>$BH$61:$BI$63</v>
      </c>
      <c r="AF41" s="67" t="s">
        <v>122</v>
      </c>
      <c r="AG41" s="70" t="str">
        <f t="shared" si="13"/>
        <v>屋内戦闘力</v>
      </c>
      <c r="AH41" s="70" t="str">
        <f t="array" ref="AH41">IFERROR(TRIM(_xlfn.REGEXEXTRACT(AF41,"(\d.+[%]?$|[0-9]|[A-Z]+$)")),"")</f>
        <v>D</v>
      </c>
      <c r="AI41" s="71" t="str">
        <f>IFERROR(VLOOKUP(AG41,'사용자가 입력할 시트'!$AF$2:$AG$60,2,FALSE),AG41)</f>
        <v>실내</v>
      </c>
      <c r="AJ41" s="72" t="str">
        <f t="array" ref="AJ41">IFERROR(TRIM(_xlfn.REGEXEXTRACT(AH41,"(\d+[%]?$|[A-Z]+$)")),"")</f>
        <v>D</v>
      </c>
      <c r="AK41" s="67" t="s">
        <v>122</v>
      </c>
      <c r="AL41" s="70" t="str">
        <f t="shared" si="14"/>
        <v>屋内戦闘力</v>
      </c>
      <c r="AM41" s="70" t="str">
        <f t="array" ref="AM41">IFERROR(TRIM(_xlfn.REGEXEXTRACT(AK41,"(\d.+[%]?$|[0-9]|[A-Z]+$)")),"")</f>
        <v>D</v>
      </c>
      <c r="AN41" s="71" t="str">
        <f>IFERROR(VLOOKUP(AL41,'사용자가 입력할 시트'!$AF$2:$AG$60,2,FALSE),AL41)</f>
        <v>실내</v>
      </c>
      <c r="AO41" s="72" t="str">
        <f t="array" ref="AO41">IFERROR(TRIM(_xlfn.REGEXEXTRACT(AM41,"(\d+[%]?$|[A-Z]+$)")),"")</f>
        <v>D</v>
      </c>
      <c r="AP41" s="67" t="s">
        <v>122</v>
      </c>
      <c r="AQ41" s="70" t="str">
        <f t="shared" si="15"/>
        <v>屋内戦闘力</v>
      </c>
      <c r="AR41" s="70" t="str">
        <f t="array" ref="AR41">IFERROR(TRIM(_xlfn.REGEXEXTRACT(AP41,"(\d.+[%]?$|[0-9]|[A-Z]+$)")),"")</f>
        <v>D</v>
      </c>
      <c r="AS41" s="71" t="str">
        <f>IFERROR(VLOOKUP(AQ41,'사용자가 입력할 시트'!$AF$2:$AG$60,2,FALSE),AQ41)</f>
        <v>실내</v>
      </c>
      <c r="AT41" s="72" t="str">
        <f t="array" ref="AT41">IFERROR(TRIM(_xlfn.REGEXEXTRACT(AR41,"(\d+[%]?$|[A-Z]+$)")),"")</f>
        <v>D</v>
      </c>
      <c r="AU41" s="67" t="s">
        <v>130</v>
      </c>
      <c r="AV41" s="70" t="str">
        <f t="shared" si="16"/>
        <v>攻撃力</v>
      </c>
      <c r="AW41" s="70" t="str">
        <f t="array" ref="AW41">IFERROR(TRIM(_xlfn.REGEXEXTRACT(AU41,"(\d.+[%]?$|[0-9]|[A-Z]+$)")),"")</f>
        <v>7665</v>
      </c>
      <c r="AX41" s="71" t="str">
        <f>IFERROR(VLOOKUP(AV41,'사용자가 입력할 시트'!$AF$2:$AG$60,2,FALSE),AV41)</f>
        <v>공격력</v>
      </c>
      <c r="AY41" s="72" t="str">
        <f t="array" ref="AY41">IFERROR(TRIM(_xlfn.REGEXEXTRACT(AW41,"(\d+[%]?$|[A-Z]+$)")),"")</f>
        <v>7665</v>
      </c>
      <c r="AZ41" s="67" t="s">
        <v>130</v>
      </c>
      <c r="BA41" s="70" t="str">
        <f t="shared" si="17"/>
        <v>攻撃力</v>
      </c>
      <c r="BB41" s="70" t="str">
        <f t="array" ref="BB41">IFERROR(TRIM(_xlfn.REGEXEXTRACT(AZ41,"(\d.+[%]?$|[0-9]|[A-Z]+$)")),"")</f>
        <v>7665</v>
      </c>
      <c r="BC41" s="71" t="str">
        <f>IFERROR(VLOOKUP(BA41,'사용자가 입력할 시트'!$AF$2:$AG$60,2,FALSE),BA41)</f>
        <v>공격력</v>
      </c>
      <c r="BD41" s="72" t="str">
        <f t="array" ref="BD41">IFERROR(TRIM(_xlfn.REGEXEXTRACT(BB41,"(\d+[%]?$|[A-Z]+$)")),"")</f>
        <v>7665</v>
      </c>
      <c r="BE41" s="67" t="s">
        <v>130</v>
      </c>
      <c r="BF41" s="70" t="str">
        <f t="shared" si="18"/>
        <v>攻撃力</v>
      </c>
      <c r="BG41" s="70" t="str">
        <f t="array" ref="BG41">IFERROR(TRIM(_xlfn.REGEXEXTRACT(BE41,"(\d.+[%]?$|[0-9]|[A-Z]+$)")),"")</f>
        <v>7665</v>
      </c>
      <c r="BH41" s="71" t="str">
        <f>IFERROR(VLOOKUP(BF41,'사용자가 입력할 시트'!$AF$2:$AG$60,2,FALSE),BF41)</f>
        <v>공격력</v>
      </c>
      <c r="BI41" s="72" t="str">
        <f t="array" ref="BI41">IFERROR(TRIM(_xlfn.REGEXEXTRACT(BG41,"(\d+[%]?$|[A-Z]+$)")),"")</f>
        <v>7665</v>
      </c>
      <c r="BJ41" s="67" t="s">
        <v>130</v>
      </c>
      <c r="BK41" s="70" t="str">
        <f t="shared" si="19"/>
        <v>攻撃力</v>
      </c>
      <c r="BL41" s="70" t="str">
        <f t="array" ref="BL41">IFERROR(TRIM(_xlfn.REGEXEXTRACT(BJ41,"(\d.+[%]?$|[0-9]|[A-Z]+$)")),"")</f>
        <v>7665</v>
      </c>
      <c r="BM41" s="71" t="str">
        <f>IFERROR(VLOOKUP(BK41,'사용자가 입력할 시트'!$AF$2:$AG$60,2,FALSE),BK41)</f>
        <v>공격력</v>
      </c>
      <c r="BN41" s="72" t="str">
        <f t="array" ref="BN41">IFERROR(TRIM(_xlfn.REGEXEXTRACT(BL41,"(\d+[%]?$|[A-Z]+$)")),"")</f>
        <v>7665</v>
      </c>
      <c r="BO41" s="67" t="s">
        <v>130</v>
      </c>
      <c r="BP41" s="70" t="str">
        <f t="shared" si="20"/>
        <v>攻撃力</v>
      </c>
      <c r="BQ41" s="70" t="str">
        <f t="array" ref="BQ41">IFERROR(TRIM(_xlfn.REGEXEXTRACT(BO41,"(\d.+[%]?$|[0-9]|[A-Z]+$)")),"")</f>
        <v>7665</v>
      </c>
      <c r="BR41" s="71" t="str">
        <f>IFERROR(VLOOKUP(BP41,'사용자가 입력할 시트'!$AF$2:$AG$60,2,FALSE),BP41)</f>
        <v>공격력</v>
      </c>
      <c r="BS41" s="72" t="str">
        <f t="array" ref="BS41">IFERROR(TRIM(_xlfn.REGEXEXTRACT(BQ41,"(\d+[%]?$|[A-Z]+$)")),"")</f>
        <v>7665</v>
      </c>
      <c r="BT41" s="67" t="s">
        <v>130</v>
      </c>
      <c r="BU41" s="70" t="str">
        <f t="shared" si="21"/>
        <v>攻撃力</v>
      </c>
      <c r="BV41" s="70" t="str">
        <f t="array" ref="BV41">IFERROR(TRIM(_xlfn.REGEXEXTRACT(BT41,"(\d.+[%]?$|[0-9]|[A-Z]+$)")),"")</f>
        <v>7665</v>
      </c>
      <c r="BW41" s="71" t="str">
        <f>IFERROR(VLOOKUP(BU41,'사용자가 입력할 시트'!$AF$2:$AG$60,2,FALSE),BU41)</f>
        <v>공격력</v>
      </c>
      <c r="BX41" s="72" t="str">
        <f t="array" ref="BX41">IFERROR(TRIM(_xlfn.REGEXEXTRACT(BV41,"(\d+[%]?$|[A-Z]+$)")),"")</f>
        <v>7665</v>
      </c>
      <c r="BY41" s="67" t="s">
        <v>130</v>
      </c>
      <c r="BZ41" s="70" t="str">
        <f t="shared" si="22"/>
        <v>攻撃力</v>
      </c>
      <c r="CA41" s="70" t="str">
        <f t="array" ref="CA41">IFERROR(TRIM(_xlfn.REGEXEXTRACT(BY41,"(\d.+[%]?$|[0-9]|[A-Z]+$)")),"")</f>
        <v>7665</v>
      </c>
      <c r="CB41" s="71" t="str">
        <f>IFERROR(VLOOKUP(BZ41,'사용자가 입력할 시트'!$AF$2:$AG$60,2,FALSE),BZ41)</f>
        <v>공격력</v>
      </c>
      <c r="CC41" s="72" t="str">
        <f t="array" ref="CC41">IFERROR(TRIM(_xlfn.REGEXEXTRACT(CA41,"(\d+[%]?$|[A-Z]+$)")),"")</f>
        <v>7665</v>
      </c>
    </row>
    <row r="42" spans="2:81">
      <c r="W42" s="2" t="str">
        <f t="shared" ca="1" si="10"/>
        <v/>
      </c>
      <c r="X42" s="2" t="str">
        <f t="shared" ca="1" si="11"/>
        <v/>
      </c>
      <c r="Y42" s="2" t="str">
        <f t="shared" ca="1" si="12"/>
        <v/>
      </c>
      <c r="Z42" s="42" t="str">
        <f t="shared" ref="Z42" ca="1" si="56">IF(X41="","",$X$4&amp;" :"&amp;X41&amp;IF(X41=X42,"","("&amp;X42&amp;")"))</f>
        <v>실내 :D()</v>
      </c>
      <c r="AB42" s="1" t="s">
        <v>196</v>
      </c>
      <c r="AC42" s="4" t="s">
        <v>183</v>
      </c>
      <c r="AD42" s="4" t="str">
        <f>_xlfn.LET(_xlpm.titleCell, MATCH($AC$42, BM:BM, 0),_xlpm.nextTitleCell, IFERROR(_xlfn.AGGREGATE(15, 6, ROW($BM$2:$BM$100)/(LEFT($BM$2:$BM$100,1)="≪")/(ROW($BM$2:$BM$100)&gt;_xlpm.titleCell), 1), ROWS(BM:BM)+1),_xlpm.startRow, _xlpm.titleCell + 1,_xlpm.endRow, _xlpm.nextTitleCell - 1,_xlpm.colStart, COLUMN($BM$2),_xlpm.colEnd, _xlpm.colStart + 1,ADDRESS(_xlpm.startRow, _xlpm.colStart) &amp; ":" &amp; ADDRESS(_xlpm.endRow, _xlpm.colEnd))</f>
        <v>$BM$6:$BN$25</v>
      </c>
      <c r="AF42" s="68" t="s">
        <v>64</v>
      </c>
      <c r="AG42" s="70" t="str">
        <f t="shared" si="13"/>
        <v>コスト回復力</v>
      </c>
      <c r="AH42" s="70" t="str">
        <f t="array" ref="AH42">IFERROR(TRIM(_xlfn.REGEXEXTRACT(AF42,"(\d.+[%]?$|[0-9]|[A-Z]+$)")),"")</f>
        <v>700</v>
      </c>
      <c r="AI42" s="71" t="str">
        <f>IFERROR(VLOOKUP(AG42,'사용자가 입력할 시트'!$AF$2:$AG$60,2,FALSE),AG42)</f>
        <v>코스트회복</v>
      </c>
      <c r="AJ42" s="72" t="str">
        <f t="array" ref="AJ42">IFERROR(TRIM(_xlfn.REGEXEXTRACT(AH42,"(\d+[%]?$|[A-Z]+$)")),"")</f>
        <v>700</v>
      </c>
      <c r="AK42" s="68" t="s">
        <v>64</v>
      </c>
      <c r="AL42" s="70" t="str">
        <f t="shared" si="14"/>
        <v>コスト回復力</v>
      </c>
      <c r="AM42" s="70" t="str">
        <f t="array" ref="AM42">IFERROR(TRIM(_xlfn.REGEXEXTRACT(AK42,"(\d.+[%]?$|[0-9]|[A-Z]+$)")),"")</f>
        <v>700</v>
      </c>
      <c r="AN42" s="71" t="str">
        <f>IFERROR(VLOOKUP(AL42,'사용자가 입력할 시트'!$AF$2:$AG$60,2,FALSE),AL42)</f>
        <v>코스트회복</v>
      </c>
      <c r="AO42" s="72" t="str">
        <f t="array" ref="AO42">IFERROR(TRIM(_xlfn.REGEXEXTRACT(AM42,"(\d+[%]?$|[A-Z]+$)")),"")</f>
        <v>700</v>
      </c>
      <c r="AP42" s="68" t="s">
        <v>64</v>
      </c>
      <c r="AQ42" s="70" t="str">
        <f t="shared" si="15"/>
        <v>コスト回復力</v>
      </c>
      <c r="AR42" s="70" t="str">
        <f t="array" ref="AR42">IFERROR(TRIM(_xlfn.REGEXEXTRACT(AP42,"(\d.+[%]?$|[0-9]|[A-Z]+$)")),"")</f>
        <v>700</v>
      </c>
      <c r="AS42" s="71" t="str">
        <f>IFERROR(VLOOKUP(AQ42,'사용자가 입력할 시트'!$AF$2:$AG$60,2,FALSE),AQ42)</f>
        <v>코스트회복</v>
      </c>
      <c r="AT42" s="72" t="str">
        <f t="array" ref="AT42">IFERROR(TRIM(_xlfn.REGEXEXTRACT(AR42,"(\d+[%]?$|[A-Z]+$)")),"")</f>
        <v>700</v>
      </c>
      <c r="AU42" s="68" t="s">
        <v>84</v>
      </c>
      <c r="AV42" s="70" t="str">
        <f t="shared" si="16"/>
        <v>治癒力</v>
      </c>
      <c r="AW42" s="70" t="str">
        <f t="array" ref="AW42">IFERROR(TRIM(_xlfn.REGEXEXTRACT(AU42,"(\d.+[%]?$|[0-9]|[A-Z]+$)")),"")</f>
        <v>5938</v>
      </c>
      <c r="AX42" s="71" t="str">
        <f>IFERROR(VLOOKUP(AV42,'사용자가 입력할 시트'!$AF$2:$AG$60,2,FALSE),AV42)</f>
        <v>회복력</v>
      </c>
      <c r="AY42" s="72" t="str">
        <f t="array" ref="AY42">IFERROR(TRIM(_xlfn.REGEXEXTRACT(AW42,"(\d+[%]?$|[A-Z]+$)")),"")</f>
        <v>5938</v>
      </c>
      <c r="AZ42" s="68" t="s">
        <v>84</v>
      </c>
      <c r="BA42" s="70" t="str">
        <f t="shared" si="17"/>
        <v>治癒力</v>
      </c>
      <c r="BB42" s="70" t="str">
        <f t="array" ref="BB42">IFERROR(TRIM(_xlfn.REGEXEXTRACT(AZ42,"(\d.+[%]?$|[0-9]|[A-Z]+$)")),"")</f>
        <v>5938</v>
      </c>
      <c r="BC42" s="71" t="str">
        <f>IFERROR(VLOOKUP(BA42,'사용자가 입력할 시트'!$AF$2:$AG$60,2,FALSE),BA42)</f>
        <v>회복력</v>
      </c>
      <c r="BD42" s="72" t="str">
        <f t="array" ref="BD42">IFERROR(TRIM(_xlfn.REGEXEXTRACT(BB42,"(\d+[%]?$|[A-Z]+$)")),"")</f>
        <v>5938</v>
      </c>
      <c r="BE42" s="68" t="s">
        <v>84</v>
      </c>
      <c r="BF42" s="70" t="str">
        <f t="shared" si="18"/>
        <v>治癒力</v>
      </c>
      <c r="BG42" s="70" t="str">
        <f t="array" ref="BG42">IFERROR(TRIM(_xlfn.REGEXEXTRACT(BE42,"(\d.+[%]?$|[0-9]|[A-Z]+$)")),"")</f>
        <v>5938</v>
      </c>
      <c r="BH42" s="71" t="str">
        <f>IFERROR(VLOOKUP(BF42,'사용자가 입력할 시트'!$AF$2:$AG$60,2,FALSE),BF42)</f>
        <v>회복력</v>
      </c>
      <c r="BI42" s="72" t="str">
        <f t="array" ref="BI42">IFERROR(TRIM(_xlfn.REGEXEXTRACT(BG42,"(\d+[%]?$|[A-Z]+$)")),"")</f>
        <v>5938</v>
      </c>
      <c r="BJ42" s="68" t="s">
        <v>84</v>
      </c>
      <c r="BK42" s="70" t="str">
        <f t="shared" si="19"/>
        <v>治癒力</v>
      </c>
      <c r="BL42" s="70" t="str">
        <f t="array" ref="BL42">IFERROR(TRIM(_xlfn.REGEXEXTRACT(BJ42,"(\d.+[%]?$|[0-9]|[A-Z]+$)")),"")</f>
        <v>5938</v>
      </c>
      <c r="BM42" s="71" t="str">
        <f>IFERROR(VLOOKUP(BK42,'사용자가 입력할 시트'!$AF$2:$AG$60,2,FALSE),BK42)</f>
        <v>회복력</v>
      </c>
      <c r="BN42" s="72" t="str">
        <f t="array" ref="BN42">IFERROR(TRIM(_xlfn.REGEXEXTRACT(BL42,"(\d+[%]?$|[A-Z]+$)")),"")</f>
        <v>5938</v>
      </c>
      <c r="BO42" s="68" t="s">
        <v>84</v>
      </c>
      <c r="BP42" s="70" t="str">
        <f t="shared" si="20"/>
        <v>治癒力</v>
      </c>
      <c r="BQ42" s="70" t="str">
        <f t="array" ref="BQ42">IFERROR(TRIM(_xlfn.REGEXEXTRACT(BO42,"(\d.+[%]?$|[0-9]|[A-Z]+$)")),"")</f>
        <v>5938</v>
      </c>
      <c r="BR42" s="71" t="str">
        <f>IFERROR(VLOOKUP(BP42,'사용자가 입력할 시트'!$AF$2:$AG$60,2,FALSE),BP42)</f>
        <v>회복력</v>
      </c>
      <c r="BS42" s="72" t="str">
        <f t="array" ref="BS42">IFERROR(TRIM(_xlfn.REGEXEXTRACT(BQ42,"(\d+[%]?$|[A-Z]+$)")),"")</f>
        <v>5938</v>
      </c>
      <c r="BT42" s="68" t="s">
        <v>84</v>
      </c>
      <c r="BU42" s="70" t="str">
        <f t="shared" si="21"/>
        <v>治癒力</v>
      </c>
      <c r="BV42" s="70" t="str">
        <f t="array" ref="BV42">IFERROR(TRIM(_xlfn.REGEXEXTRACT(BT42,"(\d.+[%]?$|[0-9]|[A-Z]+$)")),"")</f>
        <v>5938</v>
      </c>
      <c r="BW42" s="71" t="str">
        <f>IFERROR(VLOOKUP(BU42,'사용자가 입력할 시트'!$AF$2:$AG$60,2,FALSE),BU42)</f>
        <v>회복력</v>
      </c>
      <c r="BX42" s="72" t="str">
        <f t="array" ref="BX42">IFERROR(TRIM(_xlfn.REGEXEXTRACT(BV42,"(\d+[%]?$|[A-Z]+$)")),"")</f>
        <v>5938</v>
      </c>
      <c r="BY42" s="68" t="s">
        <v>84</v>
      </c>
      <c r="BZ42" s="70" t="str">
        <f t="shared" si="22"/>
        <v>治癒力</v>
      </c>
      <c r="CA42" s="70" t="str">
        <f t="array" ref="CA42">IFERROR(TRIM(_xlfn.REGEXEXTRACT(BY42,"(\d.+[%]?$|[0-9]|[A-Z]+$)")),"")</f>
        <v>5938</v>
      </c>
      <c r="CB42" s="71" t="str">
        <f>IFERROR(VLOOKUP(BZ42,'사용자가 입력할 시트'!$AF$2:$AG$60,2,FALSE),BZ42)</f>
        <v>회복력</v>
      </c>
      <c r="CC42" s="72" t="str">
        <f t="array" ref="CC42">IFERROR(TRIM(_xlfn.REGEXEXTRACT(CA42,"(\d+[%]?$|[A-Z]+$)")),"")</f>
        <v>5938</v>
      </c>
    </row>
    <row r="43" spans="2:81" ht="16.5" customHeight="1">
      <c r="W43" s="2" t="str">
        <f t="shared" ca="1" si="10"/>
        <v/>
      </c>
      <c r="X43" s="2" t="str">
        <f t="shared" ca="1" si="11"/>
        <v/>
      </c>
      <c r="Y43" s="2" t="str">
        <f t="shared" ca="1" si="12"/>
        <v/>
      </c>
      <c r="Z43" s="42" t="str">
        <f t="shared" ref="Z43" ca="1" si="57">IF(Y41="","",$Y$4&amp;" :"&amp;Y41&amp;IF(Y41=Y42,"","("&amp;Y42&amp;")"))</f>
        <v>야외 :B()</v>
      </c>
      <c r="AC43" s="4" t="s">
        <v>185</v>
      </c>
      <c r="AD43" s="4" t="str">
        <f>_xlfn.LET(_xlpm.titleCell, MATCH($AC$43, BM:BM, 0),_xlpm.nextTitleCell, IFERROR(_xlfn.AGGREGATE(15, 6, ROW($BM$2:$BM$100)/(LEFT($BM$2:$BM$100,1)="≪")/(ROW($BM$2:$BM$100)&gt;_xlpm.titleCell), 1), ROWS(BM:BM)+1),_xlpm.startRow, _xlpm.titleCell + 1,_xlpm.endRow, _xlpm.nextTitleCell - 1,_xlpm.colStart, COLUMN($BM$2),_xlpm.colEnd, _xlpm.colStart + 1,ADDRESS(_xlpm.startRow, _xlpm.colStart) &amp; ":" &amp; ADDRESS(_xlpm.endRow, _xlpm.colEnd))</f>
        <v>$BM$27:$BN$29</v>
      </c>
      <c r="AF43" s="68" t="s">
        <v>85</v>
      </c>
      <c r="AG43" s="70" t="str">
        <f t="shared" si="13"/>
        <v>CC抵抗力</v>
      </c>
      <c r="AH43" s="70" t="str">
        <f t="array" ref="AH43">IFERROR(TRIM(_xlfn.REGEXEXTRACT(AF43,"(\d.+[%]?$|[0-9]|[A-Z]+$)")),"")</f>
        <v>136</v>
      </c>
      <c r="AI43" s="71" t="str">
        <f>IFERROR(VLOOKUP(AG43,'사용자가 입력할 시트'!$AF$2:$AG$60,2,FALSE),AG43)</f>
        <v>CC저항력</v>
      </c>
      <c r="AJ43" s="72" t="str">
        <f t="array" ref="AJ43">IFERROR(TRIM(_xlfn.REGEXEXTRACT(AH43,"(\d+[%]?$|[A-Z]+$)")),"")</f>
        <v>136</v>
      </c>
      <c r="AK43" s="68" t="s">
        <v>85</v>
      </c>
      <c r="AL43" s="70" t="str">
        <f t="shared" si="14"/>
        <v>CC抵抗力</v>
      </c>
      <c r="AM43" s="70" t="str">
        <f t="array" ref="AM43">IFERROR(TRIM(_xlfn.REGEXEXTRACT(AK43,"(\d.+[%]?$|[0-9]|[A-Z]+$)")),"")</f>
        <v>136</v>
      </c>
      <c r="AN43" s="71" t="str">
        <f>IFERROR(VLOOKUP(AL43,'사용자가 입력할 시트'!$AF$2:$AG$60,2,FALSE),AL43)</f>
        <v>CC저항력</v>
      </c>
      <c r="AO43" s="72" t="str">
        <f t="array" ref="AO43">IFERROR(TRIM(_xlfn.REGEXEXTRACT(AM43,"(\d+[%]?$|[A-Z]+$)")),"")</f>
        <v>136</v>
      </c>
      <c r="AP43" s="68" t="s">
        <v>85</v>
      </c>
      <c r="AQ43" s="70" t="str">
        <f t="shared" si="15"/>
        <v>CC抵抗力</v>
      </c>
      <c r="AR43" s="70" t="str">
        <f t="array" ref="AR43">IFERROR(TRIM(_xlfn.REGEXEXTRACT(AP43,"(\d.+[%]?$|[0-9]|[A-Z]+$)")),"")</f>
        <v>136</v>
      </c>
      <c r="AS43" s="71" t="str">
        <f>IFERROR(VLOOKUP(AQ43,'사용자가 입력할 시트'!$AF$2:$AG$60,2,FALSE),AQ43)</f>
        <v>CC저항력</v>
      </c>
      <c r="AT43" s="72" t="str">
        <f t="array" ref="AT43">IFERROR(TRIM(_xlfn.REGEXEXTRACT(AR43,"(\d+[%]?$|[A-Z]+$)")),"")</f>
        <v>136</v>
      </c>
      <c r="AU43" s="68" t="s">
        <v>49</v>
      </c>
      <c r="AV43" s="70" t="str">
        <f t="shared" si="16"/>
        <v>回避値</v>
      </c>
      <c r="AW43" s="70" t="str">
        <f t="array" ref="AW43">IFERROR(TRIM(_xlfn.REGEXEXTRACT(AU43,"(\d.+[%]?$|[0-9]|[A-Z]+$)")),"")</f>
        <v>190</v>
      </c>
      <c r="AX43" s="71" t="str">
        <f>IFERROR(VLOOKUP(AV43,'사용자가 입력할 시트'!$AF$2:$AG$60,2,FALSE),AV43)</f>
        <v>회피 수치</v>
      </c>
      <c r="AY43" s="72" t="str">
        <f t="array" ref="AY43">IFERROR(TRIM(_xlfn.REGEXEXTRACT(AW43,"(\d+[%]?$|[A-Z]+$)")),"")</f>
        <v>190</v>
      </c>
      <c r="AZ43" s="68" t="s">
        <v>49</v>
      </c>
      <c r="BA43" s="70" t="str">
        <f t="shared" si="17"/>
        <v>回避値</v>
      </c>
      <c r="BB43" s="70" t="str">
        <f t="array" ref="BB43">IFERROR(TRIM(_xlfn.REGEXEXTRACT(AZ43,"(\d.+[%]?$|[0-9]|[A-Z]+$)")),"")</f>
        <v>190</v>
      </c>
      <c r="BC43" s="71" t="str">
        <f>IFERROR(VLOOKUP(BA43,'사용자가 입력할 시트'!$AF$2:$AG$60,2,FALSE),BA43)</f>
        <v>회피 수치</v>
      </c>
      <c r="BD43" s="72" t="str">
        <f t="array" ref="BD43">IFERROR(TRIM(_xlfn.REGEXEXTRACT(BB43,"(\d+[%]?$|[A-Z]+$)")),"")</f>
        <v>190</v>
      </c>
      <c r="BE43" s="68" t="s">
        <v>49</v>
      </c>
      <c r="BF43" s="70" t="str">
        <f t="shared" si="18"/>
        <v>回避値</v>
      </c>
      <c r="BG43" s="70" t="str">
        <f t="array" ref="BG43">IFERROR(TRIM(_xlfn.REGEXEXTRACT(BE43,"(\d.+[%]?$|[0-9]|[A-Z]+$)")),"")</f>
        <v>190</v>
      </c>
      <c r="BH43" s="71" t="str">
        <f>IFERROR(VLOOKUP(BF43,'사용자가 입력할 시트'!$AF$2:$AG$60,2,FALSE),BF43)</f>
        <v>회피 수치</v>
      </c>
      <c r="BI43" s="72" t="str">
        <f t="array" ref="BI43">IFERROR(TRIM(_xlfn.REGEXEXTRACT(BG43,"(\d+[%]?$|[A-Z]+$)")),"")</f>
        <v>190</v>
      </c>
      <c r="BJ43" s="68" t="s">
        <v>49</v>
      </c>
      <c r="BK43" s="70" t="str">
        <f t="shared" si="19"/>
        <v>回避値</v>
      </c>
      <c r="BL43" s="70" t="str">
        <f t="array" ref="BL43">IFERROR(TRIM(_xlfn.REGEXEXTRACT(BJ43,"(\d.+[%]?$|[0-9]|[A-Z]+$)")),"")</f>
        <v>190</v>
      </c>
      <c r="BM43" s="71" t="str">
        <f>IFERROR(VLOOKUP(BK43,'사용자가 입력할 시트'!$AF$2:$AG$60,2,FALSE),BK43)</f>
        <v>회피 수치</v>
      </c>
      <c r="BN43" s="72" t="str">
        <f t="array" ref="BN43">IFERROR(TRIM(_xlfn.REGEXEXTRACT(BL43,"(\d+[%]?$|[A-Z]+$)")),"")</f>
        <v>190</v>
      </c>
      <c r="BO43" s="68" t="s">
        <v>49</v>
      </c>
      <c r="BP43" s="70" t="str">
        <f t="shared" si="20"/>
        <v>回避値</v>
      </c>
      <c r="BQ43" s="70" t="str">
        <f t="array" ref="BQ43">IFERROR(TRIM(_xlfn.REGEXEXTRACT(BO43,"(\d.+[%]?$|[0-9]|[A-Z]+$)")),"")</f>
        <v>190</v>
      </c>
      <c r="BR43" s="71" t="str">
        <f>IFERROR(VLOOKUP(BP43,'사용자가 입력할 시트'!$AF$2:$AG$60,2,FALSE),BP43)</f>
        <v>회피 수치</v>
      </c>
      <c r="BS43" s="72" t="str">
        <f t="array" ref="BS43">IFERROR(TRIM(_xlfn.REGEXEXTRACT(BQ43,"(\d+[%]?$|[A-Z]+$)")),"")</f>
        <v>190</v>
      </c>
      <c r="BT43" s="68" t="s">
        <v>49</v>
      </c>
      <c r="BU43" s="70" t="str">
        <f t="shared" si="21"/>
        <v>回避値</v>
      </c>
      <c r="BV43" s="70" t="str">
        <f t="array" ref="BV43">IFERROR(TRIM(_xlfn.REGEXEXTRACT(BT43,"(\d.+[%]?$|[0-9]|[A-Z]+$)")),"")</f>
        <v>190</v>
      </c>
      <c r="BW43" s="71" t="str">
        <f>IFERROR(VLOOKUP(BU43,'사용자가 입력할 시트'!$AF$2:$AG$60,2,FALSE),BU43)</f>
        <v>회피 수치</v>
      </c>
      <c r="BX43" s="72" t="str">
        <f t="array" ref="BX43">IFERROR(TRIM(_xlfn.REGEXEXTRACT(BV43,"(\d+[%]?$|[A-Z]+$)")),"")</f>
        <v>190</v>
      </c>
      <c r="BY43" s="68" t="s">
        <v>49</v>
      </c>
      <c r="BZ43" s="70" t="str">
        <f t="shared" si="22"/>
        <v>回避値</v>
      </c>
      <c r="CA43" s="70" t="str">
        <f t="array" ref="CA43">IFERROR(TRIM(_xlfn.REGEXEXTRACT(BY43,"(\d.+[%]?$|[0-9]|[A-Z]+$)")),"")</f>
        <v>190</v>
      </c>
      <c r="CB43" s="71" t="str">
        <f>IFERROR(VLOOKUP(BZ43,'사용자가 입력할 시트'!$AF$2:$AG$60,2,FALSE),BZ43)</f>
        <v>회피 수치</v>
      </c>
      <c r="CC43" s="72" t="str">
        <f t="array" ref="CC43">IFERROR(TRIM(_xlfn.REGEXEXTRACT(CA43,"(\d+[%]?$|[A-Z]+$)")),"")</f>
        <v>190</v>
      </c>
    </row>
    <row r="44" spans="2:81" ht="16.5" customHeight="1">
      <c r="B44" s="2" t="s">
        <v>168</v>
      </c>
      <c r="C44" s="2" t="s">
        <v>24</v>
      </c>
      <c r="W44" s="2" t="str">
        <f t="shared" ca="1" si="10"/>
        <v>SS</v>
      </c>
      <c r="X44" s="2" t="str">
        <f t="shared" ca="1" si="11"/>
        <v>D</v>
      </c>
      <c r="Y44" s="2" t="str">
        <f t="shared" ca="1" si="12"/>
        <v>B</v>
      </c>
      <c r="Z44" s="42" t="str">
        <f t="shared" ref="Z44" ca="1" si="58">IF(W44="","",$W$4&amp;" :"&amp;W44&amp;IF(W44=W45,"","("&amp;W45&amp;")"))</f>
        <v>시가 :SS()</v>
      </c>
      <c r="AC44" s="4" t="s">
        <v>186</v>
      </c>
      <c r="AD44" s="4" t="str">
        <f>_xlfn.LET(_xlpm.titleCell, MATCH($AC$44, BM:BM, 0),_xlpm.nextTitleCell, IFERROR(_xlfn.AGGREGATE(15, 6, ROW($BM$2:$BM$100)/(LEFT($BM$2:$BM$100,1)="≪")/(ROW($BM$2:$BM$100)&gt;_xlpm.titleCell), 1), ROWS(BM:BM)+1),_xlpm.startRow, _xlpm.titleCell + 1,_xlpm.endRow, _xlpm.nextTitleCell - 1,_xlpm.colStart, COLUMN($BM$2),_xlpm.colEnd, _xlpm.colStart + 1,ADDRESS(_xlpm.startRow, _xlpm.colStart) &amp; ":" &amp; ADDRESS(_xlpm.endRow, _xlpm.colEnd))</f>
        <v>$BM$31:$BN$34</v>
      </c>
      <c r="AF44" s="68" t="s">
        <v>175</v>
      </c>
      <c r="AG44" s="70" t="str">
        <f t="shared" si="13"/>
        <v>最大コスト増加</v>
      </c>
      <c r="AH44" s="70" t="str">
        <f t="array" ref="AH44">IFERROR(TRIM(_xlfn.REGEXEXTRACT(AF44,"(\d.+[%]?$|[0-9]|[A-Z]+$)")),"")</f>
        <v>0</v>
      </c>
      <c r="AI44" s="71" t="str">
        <f>IFERROR(VLOOKUP(AG44,'사용자가 입력할 시트'!$AF$2:$AG$60,2,FALSE),AG44)</f>
        <v>최대 코스트 증가</v>
      </c>
      <c r="AJ44" s="72" t="str">
        <f t="array" ref="AJ44">IFERROR(TRIM(_xlfn.REGEXEXTRACT(AH44,"(\d+[%]?$|[A-Z]+$)")),"")</f>
        <v>0</v>
      </c>
      <c r="AK44" s="68" t="s">
        <v>175</v>
      </c>
      <c r="AL44" s="70" t="str">
        <f t="shared" si="14"/>
        <v>最大コスト増加</v>
      </c>
      <c r="AM44" s="70" t="str">
        <f t="array" ref="AM44">IFERROR(TRIM(_xlfn.REGEXEXTRACT(AK44,"(\d.+[%]?$|[0-9]|[A-Z]+$)")),"")</f>
        <v>0</v>
      </c>
      <c r="AN44" s="71" t="str">
        <f>IFERROR(VLOOKUP(AL44,'사용자가 입력할 시트'!$AF$2:$AG$60,2,FALSE),AL44)</f>
        <v>최대 코스트 증가</v>
      </c>
      <c r="AO44" s="72" t="str">
        <f t="array" ref="AO44">IFERROR(TRIM(_xlfn.REGEXEXTRACT(AM44,"(\d+[%]?$|[A-Z]+$)")),"")</f>
        <v>0</v>
      </c>
      <c r="AP44" s="68" t="s">
        <v>175</v>
      </c>
      <c r="AQ44" s="70" t="str">
        <f t="shared" si="15"/>
        <v>最大コスト増加</v>
      </c>
      <c r="AR44" s="70" t="str">
        <f t="array" ref="AR44">IFERROR(TRIM(_xlfn.REGEXEXTRACT(AP44,"(\d.+[%]?$|[0-9]|[A-Z]+$)")),"")</f>
        <v>0</v>
      </c>
      <c r="AS44" s="71" t="str">
        <f>IFERROR(VLOOKUP(AQ44,'사용자가 입력할 시트'!$AF$2:$AG$60,2,FALSE),AQ44)</f>
        <v>최대 코스트 증가</v>
      </c>
      <c r="AT44" s="72" t="str">
        <f t="array" ref="AT44">IFERROR(TRIM(_xlfn.REGEXEXTRACT(AR44,"(\d+[%]?$|[A-Z]+$)")),"")</f>
        <v>0</v>
      </c>
      <c r="AU44" s="68" t="s">
        <v>131</v>
      </c>
      <c r="AV44" s="70" t="str">
        <f t="shared" si="16"/>
        <v>会心ダメージ</v>
      </c>
      <c r="AW44" s="70" t="str">
        <f t="array" ref="AW44">IFERROR(TRIM(_xlfn.REGEXEXTRACT(AU44,"(\d.+[%]?$|[0-9]|[A-Z]+$)")),"")</f>
        <v>245%</v>
      </c>
      <c r="AX44" s="71" t="str">
        <f>IFERROR(VLOOKUP(AV44,'사용자가 입력할 시트'!$AF$2:$AG$60,2,FALSE),AV44)</f>
        <v>치명대미지</v>
      </c>
      <c r="AY44" s="72" t="str">
        <f t="array" ref="AY44">IFERROR(TRIM(_xlfn.REGEXEXTRACT(AW44,"(\d+[%]?$|[A-Z]+$)")),"")</f>
        <v>245%</v>
      </c>
      <c r="AZ44" s="68" t="s">
        <v>131</v>
      </c>
      <c r="BA44" s="70" t="str">
        <f t="shared" si="17"/>
        <v>会心ダメージ</v>
      </c>
      <c r="BB44" s="70" t="str">
        <f t="array" ref="BB44">IFERROR(TRIM(_xlfn.REGEXEXTRACT(AZ44,"(\d.+[%]?$|[0-9]|[A-Z]+$)")),"")</f>
        <v>245%</v>
      </c>
      <c r="BC44" s="71" t="str">
        <f>IFERROR(VLOOKUP(BA44,'사용자가 입력할 시트'!$AF$2:$AG$60,2,FALSE),BA44)</f>
        <v>치명대미지</v>
      </c>
      <c r="BD44" s="72" t="str">
        <f t="array" ref="BD44">IFERROR(TRIM(_xlfn.REGEXEXTRACT(BB44,"(\d+[%]?$|[A-Z]+$)")),"")</f>
        <v>245%</v>
      </c>
      <c r="BE44" s="68" t="s">
        <v>131</v>
      </c>
      <c r="BF44" s="70" t="str">
        <f t="shared" si="18"/>
        <v>会心ダメージ</v>
      </c>
      <c r="BG44" s="70" t="str">
        <f t="array" ref="BG44">IFERROR(TRIM(_xlfn.REGEXEXTRACT(BE44,"(\d.+[%]?$|[0-9]|[A-Z]+$)")),"")</f>
        <v>245%</v>
      </c>
      <c r="BH44" s="71" t="str">
        <f>IFERROR(VLOOKUP(BF44,'사용자가 입력할 시트'!$AF$2:$AG$60,2,FALSE),BF44)</f>
        <v>치명대미지</v>
      </c>
      <c r="BI44" s="72" t="str">
        <f t="array" ref="BI44">IFERROR(TRIM(_xlfn.REGEXEXTRACT(BG44,"(\d+[%]?$|[A-Z]+$)")),"")</f>
        <v>245%</v>
      </c>
      <c r="BJ44" s="68" t="s">
        <v>131</v>
      </c>
      <c r="BK44" s="70" t="str">
        <f t="shared" si="19"/>
        <v>会心ダメージ</v>
      </c>
      <c r="BL44" s="70" t="str">
        <f t="array" ref="BL44">IFERROR(TRIM(_xlfn.REGEXEXTRACT(BJ44,"(\d.+[%]?$|[0-9]|[A-Z]+$)")),"")</f>
        <v>245%</v>
      </c>
      <c r="BM44" s="71" t="str">
        <f>IFERROR(VLOOKUP(BK44,'사용자가 입력할 시트'!$AF$2:$AG$60,2,FALSE),BK44)</f>
        <v>치명대미지</v>
      </c>
      <c r="BN44" s="72" t="str">
        <f t="array" ref="BN44">IFERROR(TRIM(_xlfn.REGEXEXTRACT(BL44,"(\d+[%]?$|[A-Z]+$)")),"")</f>
        <v>245%</v>
      </c>
      <c r="BO44" s="68" t="s">
        <v>131</v>
      </c>
      <c r="BP44" s="70" t="str">
        <f t="shared" si="20"/>
        <v>会心ダメージ</v>
      </c>
      <c r="BQ44" s="70" t="str">
        <f t="array" ref="BQ44">IFERROR(TRIM(_xlfn.REGEXEXTRACT(BO44,"(\d.+[%]?$|[0-9]|[A-Z]+$)")),"")</f>
        <v>245%</v>
      </c>
      <c r="BR44" s="71" t="str">
        <f>IFERROR(VLOOKUP(BP44,'사용자가 입력할 시트'!$AF$2:$AG$60,2,FALSE),BP44)</f>
        <v>치명대미지</v>
      </c>
      <c r="BS44" s="72" t="str">
        <f t="array" ref="BS44">IFERROR(TRIM(_xlfn.REGEXEXTRACT(BQ44,"(\d+[%]?$|[A-Z]+$)")),"")</f>
        <v>245%</v>
      </c>
      <c r="BT44" s="68" t="s">
        <v>131</v>
      </c>
      <c r="BU44" s="70" t="str">
        <f t="shared" si="21"/>
        <v>会心ダメージ</v>
      </c>
      <c r="BV44" s="70" t="str">
        <f t="array" ref="BV44">IFERROR(TRIM(_xlfn.REGEXEXTRACT(BT44,"(\d.+[%]?$|[0-9]|[A-Z]+$)")),"")</f>
        <v>245%</v>
      </c>
      <c r="BW44" s="71" t="str">
        <f>IFERROR(VLOOKUP(BU44,'사용자가 입력할 시트'!$AF$2:$AG$60,2,FALSE),BU44)</f>
        <v>치명대미지</v>
      </c>
      <c r="BX44" s="72" t="str">
        <f t="array" ref="BX44">IFERROR(TRIM(_xlfn.REGEXEXTRACT(BV44,"(\d+[%]?$|[A-Z]+$)")),"")</f>
        <v>245%</v>
      </c>
      <c r="BY44" s="68" t="s">
        <v>131</v>
      </c>
      <c r="BZ44" s="70" t="str">
        <f t="shared" si="22"/>
        <v>会心ダメージ</v>
      </c>
      <c r="CA44" s="70" t="str">
        <f t="array" ref="CA44">IFERROR(TRIM(_xlfn.REGEXEXTRACT(BY44,"(\d.+[%]?$|[0-9]|[A-Z]+$)")),"")</f>
        <v>245%</v>
      </c>
      <c r="CB44" s="71" t="str">
        <f>IFERROR(VLOOKUP(BZ44,'사용자가 입력할 시트'!$AF$2:$AG$60,2,FALSE),BZ44)</f>
        <v>치명대미지</v>
      </c>
      <c r="CC44" s="72" t="str">
        <f t="array" ref="CC44">IFERROR(TRIM(_xlfn.REGEXEXTRACT(CA44,"(\d+[%]?$|[A-Z]+$)")),"")</f>
        <v>245%</v>
      </c>
    </row>
    <row r="45" spans="2:81" ht="16.5" customHeight="1">
      <c r="W45" s="2" t="str">
        <f t="shared" ca="1" si="10"/>
        <v/>
      </c>
      <c r="X45" s="2" t="str">
        <f t="shared" ca="1" si="11"/>
        <v/>
      </c>
      <c r="Y45" s="2" t="str">
        <f t="shared" ca="1" si="12"/>
        <v/>
      </c>
      <c r="Z45" s="42" t="str">
        <f t="shared" ref="Z45" ca="1" si="59">IF(X44="","",$X$4&amp;" :"&amp;X44&amp;IF(X44=X45,"","("&amp;X45&amp;")"))</f>
        <v>실내 :D()</v>
      </c>
      <c r="AC45" s="4" t="s">
        <v>184</v>
      </c>
      <c r="AD45" s="4" t="str">
        <f>_xlfn.LET(_xlpm.titleCell, MATCH($AC$45, BM:BM, 0),_xlpm.nextTitleCell, IFERROR(_xlfn.AGGREGATE(15, 6, ROW($BM$2:$BM$100)/(LEFT($BM$2:$BM$100,1)="≪")/(ROW($BM$2:$BM$100)&gt;_xlpm.titleCell), 1), ROWS(BM:BM)+1),_xlpm.startRow, _xlpm.titleCell + 1,_xlpm.endRow, _xlpm.nextTitleCell - 1,_xlpm.colStart, COLUMN($BM$2),_xlpm.colEnd, _xlpm.colStart + 1,ADDRESS(_xlpm.startRow, _xlpm.colStart) &amp; ":" &amp; ADDRESS(_xlpm.endRow, _xlpm.colEnd))</f>
        <v>$BM$36:$BN$55</v>
      </c>
      <c r="AF45" s="67" t="s">
        <v>134</v>
      </c>
      <c r="AG45" s="70" t="str">
        <f t="shared" si="13"/>
        <v>屋外戦闘力</v>
      </c>
      <c r="AH45" s="70" t="str">
        <f t="array" ref="AH45">IFERROR(TRIM(_xlfn.REGEXEXTRACT(AF45,"(\d.+[%]?$|[0-9]|[A-Z]+$)")),"")</f>
        <v>B</v>
      </c>
      <c r="AI45" s="71" t="str">
        <f>IFERROR(VLOOKUP(AG45,'사용자가 입력할 시트'!$AF$2:$AG$60,2,FALSE),AG45)</f>
        <v>야외</v>
      </c>
      <c r="AJ45" s="72" t="str">
        <f t="array" ref="AJ45">IFERROR(TRIM(_xlfn.REGEXEXTRACT(AH45,"(\d+[%]?$|[A-Z]+$)")),"")</f>
        <v>B</v>
      </c>
      <c r="AK45" s="67" t="s">
        <v>134</v>
      </c>
      <c r="AL45" s="70" t="str">
        <f t="shared" si="14"/>
        <v>屋外戦闘力</v>
      </c>
      <c r="AM45" s="70" t="str">
        <f t="array" ref="AM45">IFERROR(TRIM(_xlfn.REGEXEXTRACT(AK45,"(\d.+[%]?$|[0-9]|[A-Z]+$)")),"")</f>
        <v>B</v>
      </c>
      <c r="AN45" s="71" t="str">
        <f>IFERROR(VLOOKUP(AL45,'사용자가 입력할 시트'!$AF$2:$AG$60,2,FALSE),AL45)</f>
        <v>야외</v>
      </c>
      <c r="AO45" s="72" t="str">
        <f t="array" ref="AO45">IFERROR(TRIM(_xlfn.REGEXEXTRACT(AM45,"(\d+[%]?$|[A-Z]+$)")),"")</f>
        <v>B</v>
      </c>
      <c r="AP45" s="67" t="s">
        <v>134</v>
      </c>
      <c r="AQ45" s="70" t="str">
        <f t="shared" si="15"/>
        <v>屋外戦闘力</v>
      </c>
      <c r="AR45" s="70" t="str">
        <f t="array" ref="AR45">IFERROR(TRIM(_xlfn.REGEXEXTRACT(AP45,"(\d.+[%]?$|[0-9]|[A-Z]+$)")),"")</f>
        <v>B</v>
      </c>
      <c r="AS45" s="71" t="str">
        <f>IFERROR(VLOOKUP(AQ45,'사용자가 입력할 시트'!$AF$2:$AG$60,2,FALSE),AQ45)</f>
        <v>야외</v>
      </c>
      <c r="AT45" s="72" t="str">
        <f t="array" ref="AT45">IFERROR(TRIM(_xlfn.REGEXEXTRACT(AR45,"(\d+[%]?$|[A-Z]+$)")),"")</f>
        <v>B</v>
      </c>
      <c r="AU45" s="67" t="s">
        <v>54</v>
      </c>
      <c r="AV45" s="70" t="str">
        <f t="shared" si="16"/>
        <v>安定値</v>
      </c>
      <c r="AW45" s="70" t="str">
        <f t="array" ref="AW45">IFERROR(TRIM(_xlfn.REGEXEXTRACT(AU45,"(\d.+[%]?$|[0-9]|[A-Z]+$)")),"")</f>
        <v>1900</v>
      </c>
      <c r="AX45" s="71" t="str">
        <f>IFERROR(VLOOKUP(AV45,'사용자가 입력할 시트'!$AF$2:$AG$60,2,FALSE),AV45)</f>
        <v>안정 수치</v>
      </c>
      <c r="AY45" s="72" t="str">
        <f t="array" ref="AY45">IFERROR(TRIM(_xlfn.REGEXEXTRACT(AW45,"(\d+[%]?$|[A-Z]+$)")),"")</f>
        <v>1900</v>
      </c>
      <c r="AZ45" s="67" t="s">
        <v>54</v>
      </c>
      <c r="BA45" s="70" t="str">
        <f t="shared" si="17"/>
        <v>安定値</v>
      </c>
      <c r="BB45" s="70" t="str">
        <f t="array" ref="BB45">IFERROR(TRIM(_xlfn.REGEXEXTRACT(AZ45,"(\d.+[%]?$|[0-9]|[A-Z]+$)")),"")</f>
        <v>1900</v>
      </c>
      <c r="BC45" s="71" t="str">
        <f>IFERROR(VLOOKUP(BA45,'사용자가 입력할 시트'!$AF$2:$AG$60,2,FALSE),BA45)</f>
        <v>안정 수치</v>
      </c>
      <c r="BD45" s="72" t="str">
        <f t="array" ref="BD45">IFERROR(TRIM(_xlfn.REGEXEXTRACT(BB45,"(\d+[%]?$|[A-Z]+$)")),"")</f>
        <v>1900</v>
      </c>
      <c r="BE45" s="67" t="s">
        <v>54</v>
      </c>
      <c r="BF45" s="70" t="str">
        <f t="shared" si="18"/>
        <v>安定値</v>
      </c>
      <c r="BG45" s="70" t="str">
        <f t="array" ref="BG45">IFERROR(TRIM(_xlfn.REGEXEXTRACT(BE45,"(\d.+[%]?$|[0-9]|[A-Z]+$)")),"")</f>
        <v>1900</v>
      </c>
      <c r="BH45" s="71" t="str">
        <f>IFERROR(VLOOKUP(BF45,'사용자가 입력할 시트'!$AF$2:$AG$60,2,FALSE),BF45)</f>
        <v>안정 수치</v>
      </c>
      <c r="BI45" s="72" t="str">
        <f t="array" ref="BI45">IFERROR(TRIM(_xlfn.REGEXEXTRACT(BG45,"(\d+[%]?$|[A-Z]+$)")),"")</f>
        <v>1900</v>
      </c>
      <c r="BJ45" s="67" t="s">
        <v>54</v>
      </c>
      <c r="BK45" s="70" t="str">
        <f t="shared" si="19"/>
        <v>安定値</v>
      </c>
      <c r="BL45" s="70" t="str">
        <f t="array" ref="BL45">IFERROR(TRIM(_xlfn.REGEXEXTRACT(BJ45,"(\d.+[%]?$|[0-9]|[A-Z]+$)")),"")</f>
        <v>1900</v>
      </c>
      <c r="BM45" s="71" t="str">
        <f>IFERROR(VLOOKUP(BK45,'사용자가 입력할 시트'!$AF$2:$AG$60,2,FALSE),BK45)</f>
        <v>안정 수치</v>
      </c>
      <c r="BN45" s="72" t="str">
        <f t="array" ref="BN45">IFERROR(TRIM(_xlfn.REGEXEXTRACT(BL45,"(\d+[%]?$|[A-Z]+$)")),"")</f>
        <v>1900</v>
      </c>
      <c r="BO45" s="67" t="s">
        <v>54</v>
      </c>
      <c r="BP45" s="70" t="str">
        <f t="shared" si="20"/>
        <v>安定値</v>
      </c>
      <c r="BQ45" s="70" t="str">
        <f t="array" ref="BQ45">IFERROR(TRIM(_xlfn.REGEXEXTRACT(BO45,"(\d.+[%]?$|[0-9]|[A-Z]+$)")),"")</f>
        <v>1900</v>
      </c>
      <c r="BR45" s="71" t="str">
        <f>IFERROR(VLOOKUP(BP45,'사용자가 입력할 시트'!$AF$2:$AG$60,2,FALSE),BP45)</f>
        <v>안정 수치</v>
      </c>
      <c r="BS45" s="72" t="str">
        <f t="array" ref="BS45">IFERROR(TRIM(_xlfn.REGEXEXTRACT(BQ45,"(\d+[%]?$|[A-Z]+$)")),"")</f>
        <v>1900</v>
      </c>
      <c r="BT45" s="67" t="s">
        <v>54</v>
      </c>
      <c r="BU45" s="70" t="str">
        <f t="shared" si="21"/>
        <v>安定値</v>
      </c>
      <c r="BV45" s="70" t="str">
        <f t="array" ref="BV45">IFERROR(TRIM(_xlfn.REGEXEXTRACT(BT45,"(\d.+[%]?$|[0-9]|[A-Z]+$)")),"")</f>
        <v>1900</v>
      </c>
      <c r="BW45" s="71" t="str">
        <f>IFERROR(VLOOKUP(BU45,'사용자가 입력할 시트'!$AF$2:$AG$60,2,FALSE),BU45)</f>
        <v>안정 수치</v>
      </c>
      <c r="BX45" s="72" t="str">
        <f t="array" ref="BX45">IFERROR(TRIM(_xlfn.REGEXEXTRACT(BV45,"(\d+[%]?$|[A-Z]+$)")),"")</f>
        <v>1900</v>
      </c>
      <c r="BY45" s="67" t="s">
        <v>54</v>
      </c>
      <c r="BZ45" s="70" t="str">
        <f t="shared" si="22"/>
        <v>安定値</v>
      </c>
      <c r="CA45" s="70" t="str">
        <f t="array" ref="CA45">IFERROR(TRIM(_xlfn.REGEXEXTRACT(BY45,"(\d.+[%]?$|[0-9]|[A-Z]+$)")),"")</f>
        <v>1900</v>
      </c>
      <c r="CB45" s="71" t="str">
        <f>IFERROR(VLOOKUP(BZ45,'사용자가 입력할 시트'!$AF$2:$AG$60,2,FALSE),BZ45)</f>
        <v>안정 수치</v>
      </c>
      <c r="CC45" s="72" t="str">
        <f t="array" ref="CC45">IFERROR(TRIM(_xlfn.REGEXEXTRACT(CA45,"(\d+[%]?$|[A-Z]+$)")),"")</f>
        <v>1900</v>
      </c>
    </row>
    <row r="46" spans="2:81" ht="16.5" customHeight="1">
      <c r="C46" s="2" t="s">
        <v>173</v>
      </c>
      <c r="W46" s="2" t="str">
        <f t="shared" ca="1" si="10"/>
        <v/>
      </c>
      <c r="X46" s="2" t="str">
        <f t="shared" ca="1" si="11"/>
        <v/>
      </c>
      <c r="Y46" s="2" t="str">
        <f t="shared" ca="1" si="12"/>
        <v/>
      </c>
      <c r="Z46" s="42" t="str">
        <f t="shared" ref="Z46" ca="1" si="60">IF(Y44="","",$Y$4&amp;" :"&amp;Y44&amp;IF(Y44=Y45,"","("&amp;Y45&amp;")"))</f>
        <v>야외 :B()</v>
      </c>
      <c r="AC46" s="4" t="s">
        <v>192</v>
      </c>
      <c r="AD46" s="4" t="str">
        <f>_xlfn.LET(_xlpm.titleCell, MATCH($AC$46, BM:BM, 0),_xlpm.nextTitleCell, IFERROR(_xlfn.AGGREGATE(15, 6, ROW($BM$2:$BM$100)/(LEFT($BM$2:$BM$100,1)="≪")/(ROW($BM$2:$BM$100)&gt;_xlpm.titleCell), 1), ROWS(BM:BM)+1),_xlpm.startRow, _xlpm.titleCell + 1,_xlpm.endRow, _xlpm.nextTitleCell - 1,_xlpm.colStart, COLUMN($BM$2),_xlpm.colEnd, _xlpm.colStart + 1,ADDRESS(_xlpm.startRow, _xlpm.colStart) &amp; ":" &amp; ADDRESS(_xlpm.endRow, _xlpm.colEnd))</f>
        <v>$BM$57:$BN$59</v>
      </c>
      <c r="AF46" s="67"/>
      <c r="AG46" s="70" t="str">
        <f t="shared" si="13"/>
        <v/>
      </c>
      <c r="AH46" s="70" t="str">
        <f t="array" ref="AH46">IFERROR(TRIM(_xlfn.REGEXEXTRACT(AF46,"(\d.+[%]?$|[0-9]|[A-Z]+$)")),"")</f>
        <v/>
      </c>
      <c r="AI46" s="71" t="str">
        <f>IFERROR(VLOOKUP(AG46,'사용자가 입력할 시트'!$AF$2:$AG$60,2,FALSE),AG46)</f>
        <v/>
      </c>
      <c r="AJ46" s="72" t="str">
        <f t="array" ref="AJ46">IFERROR(TRIM(_xlfn.REGEXEXTRACT(AH46,"(\d+[%]?$|[A-Z]+$)")),"")</f>
        <v/>
      </c>
      <c r="AK46" s="67"/>
      <c r="AL46" s="70" t="str">
        <f t="shared" si="14"/>
        <v/>
      </c>
      <c r="AM46" s="70" t="str">
        <f t="array" ref="AM46">IFERROR(TRIM(_xlfn.REGEXEXTRACT(AK46,"(\d.+[%]?$|[0-9]|[A-Z]+$)")),"")</f>
        <v/>
      </c>
      <c r="AN46" s="71" t="str">
        <f>IFERROR(VLOOKUP(AL46,'사용자가 입력할 시트'!$AF$2:$AG$60,2,FALSE),AL46)</f>
        <v/>
      </c>
      <c r="AO46" s="72" t="str">
        <f t="array" ref="AO46">IFERROR(TRIM(_xlfn.REGEXEXTRACT(AM46,"(\d+[%]?$|[A-Z]+$)")),"")</f>
        <v/>
      </c>
      <c r="AP46" s="67"/>
      <c r="AQ46" s="70" t="str">
        <f t="shared" si="15"/>
        <v/>
      </c>
      <c r="AR46" s="70" t="str">
        <f t="array" ref="AR46">IFERROR(TRIM(_xlfn.REGEXEXTRACT(AP46,"(\d.+[%]?$|[0-9]|[A-Z]+$)")),"")</f>
        <v/>
      </c>
      <c r="AS46" s="71" t="str">
        <f>IFERROR(VLOOKUP(AQ46,'사용자가 입력할 시트'!$AF$2:$AG$60,2,FALSE),AQ46)</f>
        <v/>
      </c>
      <c r="AT46" s="72" t="str">
        <f t="array" ref="AT46">IFERROR(TRIM(_xlfn.REGEXEXTRACT(AR46,"(\d+[%]?$|[A-Z]+$)")),"")</f>
        <v/>
      </c>
      <c r="AU46" s="67" t="s">
        <v>95</v>
      </c>
      <c r="AV46" s="70" t="str">
        <f t="shared" si="16"/>
        <v>射程距離</v>
      </c>
      <c r="AW46" s="70" t="str">
        <f t="array" ref="AW46">IFERROR(TRIM(_xlfn.REGEXEXTRACT(AU46,"(\d.+[%]?$|[0-9]|[A-Z]+$)")),"")</f>
        <v>750</v>
      </c>
      <c r="AX46" s="71" t="str">
        <f>IFERROR(VLOOKUP(AV46,'사용자가 입력할 시트'!$AF$2:$AG$60,2,FALSE),AV46)</f>
        <v>사정거리</v>
      </c>
      <c r="AY46" s="72" t="str">
        <f t="array" ref="AY46">IFERROR(TRIM(_xlfn.REGEXEXTRACT(AW46,"(\d+[%]?$|[A-Z]+$)")),"")</f>
        <v>750</v>
      </c>
      <c r="AZ46" s="67" t="s">
        <v>95</v>
      </c>
      <c r="BA46" s="70" t="str">
        <f t="shared" si="17"/>
        <v>射程距離</v>
      </c>
      <c r="BB46" s="70" t="str">
        <f t="array" ref="BB46">IFERROR(TRIM(_xlfn.REGEXEXTRACT(AZ46,"(\d.+[%]?$|[0-9]|[A-Z]+$)")),"")</f>
        <v>750</v>
      </c>
      <c r="BC46" s="71" t="str">
        <f>IFERROR(VLOOKUP(BA46,'사용자가 입력할 시트'!$AF$2:$AG$60,2,FALSE),BA46)</f>
        <v>사정거리</v>
      </c>
      <c r="BD46" s="72" t="str">
        <f t="array" ref="BD46">IFERROR(TRIM(_xlfn.REGEXEXTRACT(BB46,"(\d+[%]?$|[A-Z]+$)")),"")</f>
        <v>750</v>
      </c>
      <c r="BE46" s="67" t="s">
        <v>95</v>
      </c>
      <c r="BF46" s="70" t="str">
        <f t="shared" si="18"/>
        <v>射程距離</v>
      </c>
      <c r="BG46" s="70" t="str">
        <f t="array" ref="BG46">IFERROR(TRIM(_xlfn.REGEXEXTRACT(BE46,"(\d.+[%]?$|[0-9]|[A-Z]+$)")),"")</f>
        <v>750</v>
      </c>
      <c r="BH46" s="71" t="str">
        <f>IFERROR(VLOOKUP(BF46,'사용자가 입력할 시트'!$AF$2:$AG$60,2,FALSE),BF46)</f>
        <v>사정거리</v>
      </c>
      <c r="BI46" s="72" t="str">
        <f t="array" ref="BI46">IFERROR(TRIM(_xlfn.REGEXEXTRACT(BG46,"(\d+[%]?$|[A-Z]+$)")),"")</f>
        <v>750</v>
      </c>
      <c r="BJ46" s="67" t="s">
        <v>95</v>
      </c>
      <c r="BK46" s="70" t="str">
        <f t="shared" si="19"/>
        <v>射程距離</v>
      </c>
      <c r="BL46" s="70" t="str">
        <f t="array" ref="BL46">IFERROR(TRIM(_xlfn.REGEXEXTRACT(BJ46,"(\d.+[%]?$|[0-9]|[A-Z]+$)")),"")</f>
        <v>750</v>
      </c>
      <c r="BM46" s="71" t="str">
        <f>IFERROR(VLOOKUP(BK46,'사용자가 입력할 시트'!$AF$2:$AG$60,2,FALSE),BK46)</f>
        <v>사정거리</v>
      </c>
      <c r="BN46" s="72" t="str">
        <f t="array" ref="BN46">IFERROR(TRIM(_xlfn.REGEXEXTRACT(BL46,"(\d+[%]?$|[A-Z]+$)")),"")</f>
        <v>750</v>
      </c>
      <c r="BO46" s="67" t="s">
        <v>95</v>
      </c>
      <c r="BP46" s="70" t="str">
        <f t="shared" si="20"/>
        <v>射程距離</v>
      </c>
      <c r="BQ46" s="70" t="str">
        <f t="array" ref="BQ46">IFERROR(TRIM(_xlfn.REGEXEXTRACT(BO46,"(\d.+[%]?$|[0-9]|[A-Z]+$)")),"")</f>
        <v>750</v>
      </c>
      <c r="BR46" s="71" t="str">
        <f>IFERROR(VLOOKUP(BP46,'사용자가 입력할 시트'!$AF$2:$AG$60,2,FALSE),BP46)</f>
        <v>사정거리</v>
      </c>
      <c r="BS46" s="72" t="str">
        <f t="array" ref="BS46">IFERROR(TRIM(_xlfn.REGEXEXTRACT(BQ46,"(\d+[%]?$|[A-Z]+$)")),"")</f>
        <v>750</v>
      </c>
      <c r="BT46" s="67" t="s">
        <v>95</v>
      </c>
      <c r="BU46" s="70" t="str">
        <f t="shared" si="21"/>
        <v>射程距離</v>
      </c>
      <c r="BV46" s="70" t="str">
        <f t="array" ref="BV46">IFERROR(TRIM(_xlfn.REGEXEXTRACT(BT46,"(\d.+[%]?$|[0-9]|[A-Z]+$)")),"")</f>
        <v>750</v>
      </c>
      <c r="BW46" s="71" t="str">
        <f>IFERROR(VLOOKUP(BU46,'사용자가 입력할 시트'!$AF$2:$AG$60,2,FALSE),BU46)</f>
        <v>사정거리</v>
      </c>
      <c r="BX46" s="72" t="str">
        <f t="array" ref="BX46">IFERROR(TRIM(_xlfn.REGEXEXTRACT(BV46,"(\d+[%]?$|[A-Z]+$)")),"")</f>
        <v>750</v>
      </c>
      <c r="BY46" s="67" t="s">
        <v>95</v>
      </c>
      <c r="BZ46" s="70" t="str">
        <f t="shared" si="22"/>
        <v>射程距離</v>
      </c>
      <c r="CA46" s="70" t="str">
        <f t="array" ref="CA46">IFERROR(TRIM(_xlfn.REGEXEXTRACT(BY46,"(\d.+[%]?$|[0-9]|[A-Z]+$)")),"")</f>
        <v>750</v>
      </c>
      <c r="CB46" s="71" t="str">
        <f>IFERROR(VLOOKUP(BZ46,'사용자가 입력할 시트'!$AF$2:$AG$60,2,FALSE),BZ46)</f>
        <v>사정거리</v>
      </c>
      <c r="CC46" s="72" t="str">
        <f t="array" ref="CC46">IFERROR(TRIM(_xlfn.REGEXEXTRACT(CA46,"(\d+[%]?$|[A-Z]+$)")),"")</f>
        <v>750</v>
      </c>
    </row>
    <row r="47" spans="2:81">
      <c r="C47" s="2" t="s">
        <v>174</v>
      </c>
      <c r="W47" s="2" t="str">
        <f t="shared" ca="1" si="10"/>
        <v>S</v>
      </c>
      <c r="X47" s="2" t="str">
        <f t="shared" ca="1" si="11"/>
        <v>D</v>
      </c>
      <c r="Y47" s="2" t="str">
        <f t="shared" ca="1" si="12"/>
        <v>B</v>
      </c>
      <c r="Z47" s="42" t="str">
        <f t="shared" ref="Z47" ca="1" si="61">IF(W47="","",$W$4&amp;" :"&amp;W47&amp;IF(W47=W48,"","("&amp;W48&amp;")"))</f>
        <v>시가 :S()</v>
      </c>
      <c r="AC47" s="4" t="s">
        <v>193</v>
      </c>
      <c r="AD47" s="4" t="str">
        <f>_xlfn.LET(_xlpm.titleCell, MATCH($AC$47, BM:BM, 0),_xlpm.nextTitleCell, IFERROR(_xlfn.AGGREGATE(15, 6, ROW($BM$2:$BM$100)/(LEFT($BM$2:$BM$100,1)="≪")/(ROW($BM$2:$BM$100)&gt;_xlpm.titleCell), 1), ROWS(BM:BM)+1),_xlpm.startRow, _xlpm.titleCell + 1,_xlpm.endRow, _xlpm.nextTitleCell - 1,_xlpm.colStart, COLUMN($BM$2),_xlpm.colEnd, _xlpm.colStart + 1,ADDRESS(_xlpm.startRow, _xlpm.colStart) &amp; ":" &amp; ADDRESS(_xlpm.endRow, _xlpm.colEnd))</f>
        <v>$BM$61:$BN$63</v>
      </c>
      <c r="AF47" s="68" t="s">
        <v>141</v>
      </c>
      <c r="AG47" s="70" t="str">
        <f t="shared" si="13"/>
        <v>≪고유무기 1레벨≫</v>
      </c>
      <c r="AH47" s="70" t="str">
        <f t="array" ref="AH47">IFERROR(TRIM(_xlfn.REGEXEXTRACT(AF47,"(\d.+[%]?$|[0-9]|[A-Z]+$)")),"")</f>
        <v>1레벨≫</v>
      </c>
      <c r="AI47" s="71" t="str">
        <f>IFERROR(VLOOKUP(AG47,'사용자가 입력할 시트'!$AF$2:$AG$60,2,FALSE),AG47)</f>
        <v>≪고유무기 1레벨≫</v>
      </c>
      <c r="AJ47" s="72" t="str">
        <f t="array" ref="AJ47">IFERROR(TRIM(_xlfn.REGEXEXTRACT(AH47,"(\d+[%]?$|[A-Z]+$)")),"")</f>
        <v/>
      </c>
      <c r="AK47" s="68" t="s">
        <v>141</v>
      </c>
      <c r="AL47" s="70" t="str">
        <f t="shared" si="14"/>
        <v>≪고유무기 1레벨≫</v>
      </c>
      <c r="AM47" s="70" t="str">
        <f t="array" ref="AM47">IFERROR(TRIM(_xlfn.REGEXEXTRACT(AK47,"(\d.+[%]?$|[0-9]|[A-Z]+$)")),"")</f>
        <v>1레벨≫</v>
      </c>
      <c r="AN47" s="71" t="str">
        <f>IFERROR(VLOOKUP(AL47,'사용자가 입력할 시트'!$AF$2:$AG$60,2,FALSE),AL47)</f>
        <v>≪고유무기 1레벨≫</v>
      </c>
      <c r="AO47" s="72" t="str">
        <f t="array" ref="AO47">IFERROR(TRIM(_xlfn.REGEXEXTRACT(AM47,"(\d+[%]?$|[A-Z]+$)")),"")</f>
        <v/>
      </c>
      <c r="AP47" s="68" t="s">
        <v>141</v>
      </c>
      <c r="AQ47" s="70" t="str">
        <f t="shared" si="15"/>
        <v>≪고유무기 1레벨≫</v>
      </c>
      <c r="AR47" s="70" t="str">
        <f t="array" ref="AR47">IFERROR(TRIM(_xlfn.REGEXEXTRACT(AP47,"(\d.+[%]?$|[0-9]|[A-Z]+$)")),"")</f>
        <v>1레벨≫</v>
      </c>
      <c r="AS47" s="71" t="str">
        <f>IFERROR(VLOOKUP(AQ47,'사용자가 입력할 시트'!$AF$2:$AG$60,2,FALSE),AQ47)</f>
        <v>≪고유무기 1레벨≫</v>
      </c>
      <c r="AT47" s="72" t="str">
        <f t="array" ref="AT47">IFERROR(TRIM(_xlfn.REGEXEXTRACT(AR47,"(\d+[%]?$|[A-Z]+$)")),"")</f>
        <v/>
      </c>
      <c r="AU47" s="68" t="s">
        <v>58</v>
      </c>
      <c r="AV47" s="70" t="str">
        <f t="shared" si="16"/>
        <v>CC強化力</v>
      </c>
      <c r="AW47" s="70" t="str">
        <f t="array" ref="AW47">IFERROR(TRIM(_xlfn.REGEXEXTRACT(AU47,"(\d.+[%]?$|[0-9]|[A-Z]+$)")),"")</f>
        <v>100</v>
      </c>
      <c r="AX47" s="71" t="str">
        <f>IFERROR(VLOOKUP(AV47,'사용자가 입력할 시트'!$AF$2:$AG$60,2,FALSE),AV47)</f>
        <v>CC강화력</v>
      </c>
      <c r="AY47" s="72" t="str">
        <f t="array" ref="AY47">IFERROR(TRIM(_xlfn.REGEXEXTRACT(AW47,"(\d+[%]?$|[A-Z]+$)")),"")</f>
        <v>100</v>
      </c>
      <c r="AZ47" s="68" t="s">
        <v>58</v>
      </c>
      <c r="BA47" s="70" t="str">
        <f t="shared" si="17"/>
        <v>CC強化力</v>
      </c>
      <c r="BB47" s="70" t="str">
        <f t="array" ref="BB47">IFERROR(TRIM(_xlfn.REGEXEXTRACT(AZ47,"(\d.+[%]?$|[0-9]|[A-Z]+$)")),"")</f>
        <v>100</v>
      </c>
      <c r="BC47" s="71" t="str">
        <f>IFERROR(VLOOKUP(BA47,'사용자가 입력할 시트'!$AF$2:$AG$60,2,FALSE),BA47)</f>
        <v>CC강화력</v>
      </c>
      <c r="BD47" s="72" t="str">
        <f t="array" ref="BD47">IFERROR(TRIM(_xlfn.REGEXEXTRACT(BB47,"(\d+[%]?$|[A-Z]+$)")),"")</f>
        <v>100</v>
      </c>
      <c r="BE47" s="68" t="s">
        <v>58</v>
      </c>
      <c r="BF47" s="70" t="str">
        <f t="shared" si="18"/>
        <v>CC強化力</v>
      </c>
      <c r="BG47" s="70" t="str">
        <f t="array" ref="BG47">IFERROR(TRIM(_xlfn.REGEXEXTRACT(BE47,"(\d.+[%]?$|[0-9]|[A-Z]+$)")),"")</f>
        <v>100</v>
      </c>
      <c r="BH47" s="71" t="str">
        <f>IFERROR(VLOOKUP(BF47,'사용자가 입력할 시트'!$AF$2:$AG$60,2,FALSE),BF47)</f>
        <v>CC강화력</v>
      </c>
      <c r="BI47" s="72" t="str">
        <f t="array" ref="BI47">IFERROR(TRIM(_xlfn.REGEXEXTRACT(BG47,"(\d+[%]?$|[A-Z]+$)")),"")</f>
        <v>100</v>
      </c>
      <c r="BJ47" s="68" t="s">
        <v>58</v>
      </c>
      <c r="BK47" s="70" t="str">
        <f t="shared" si="19"/>
        <v>CC強化力</v>
      </c>
      <c r="BL47" s="70" t="str">
        <f t="array" ref="BL47">IFERROR(TRIM(_xlfn.REGEXEXTRACT(BJ47,"(\d.+[%]?$|[0-9]|[A-Z]+$)")),"")</f>
        <v>100</v>
      </c>
      <c r="BM47" s="71" t="str">
        <f>IFERROR(VLOOKUP(BK47,'사용자가 입력할 시트'!$AF$2:$AG$60,2,FALSE),BK47)</f>
        <v>CC강화력</v>
      </c>
      <c r="BN47" s="72" t="str">
        <f t="array" ref="BN47">IFERROR(TRIM(_xlfn.REGEXEXTRACT(BL47,"(\d+[%]?$|[A-Z]+$)")),"")</f>
        <v>100</v>
      </c>
      <c r="BO47" s="68" t="s">
        <v>58</v>
      </c>
      <c r="BP47" s="70" t="str">
        <f t="shared" si="20"/>
        <v>CC強化力</v>
      </c>
      <c r="BQ47" s="70" t="str">
        <f t="array" ref="BQ47">IFERROR(TRIM(_xlfn.REGEXEXTRACT(BO47,"(\d.+[%]?$|[0-9]|[A-Z]+$)")),"")</f>
        <v>100</v>
      </c>
      <c r="BR47" s="71" t="str">
        <f>IFERROR(VLOOKUP(BP47,'사용자가 입력할 시트'!$AF$2:$AG$60,2,FALSE),BP47)</f>
        <v>CC강화력</v>
      </c>
      <c r="BS47" s="72" t="str">
        <f t="array" ref="BS47">IFERROR(TRIM(_xlfn.REGEXEXTRACT(BQ47,"(\d+[%]?$|[A-Z]+$)")),"")</f>
        <v>100</v>
      </c>
      <c r="BT47" s="68" t="s">
        <v>58</v>
      </c>
      <c r="BU47" s="70" t="str">
        <f t="shared" si="21"/>
        <v>CC強化力</v>
      </c>
      <c r="BV47" s="70" t="str">
        <f t="array" ref="BV47">IFERROR(TRIM(_xlfn.REGEXEXTRACT(BT47,"(\d.+[%]?$|[0-9]|[A-Z]+$)")),"")</f>
        <v>100</v>
      </c>
      <c r="BW47" s="71" t="str">
        <f>IFERROR(VLOOKUP(BU47,'사용자가 입력할 시트'!$AF$2:$AG$60,2,FALSE),BU47)</f>
        <v>CC강화력</v>
      </c>
      <c r="BX47" s="72" t="str">
        <f t="array" ref="BX47">IFERROR(TRIM(_xlfn.REGEXEXTRACT(BV47,"(\d+[%]?$|[A-Z]+$)")),"")</f>
        <v>100</v>
      </c>
      <c r="BY47" s="68" t="s">
        <v>58</v>
      </c>
      <c r="BZ47" s="70" t="str">
        <f t="shared" si="22"/>
        <v>CC強化力</v>
      </c>
      <c r="CA47" s="70" t="str">
        <f t="array" ref="CA47">IFERROR(TRIM(_xlfn.REGEXEXTRACT(BY47,"(\d.+[%]?$|[0-9]|[A-Z]+$)")),"")</f>
        <v>100</v>
      </c>
      <c r="CB47" s="71" t="str">
        <f>IFERROR(VLOOKUP(BZ47,'사용자가 입력할 시트'!$AF$2:$AG$60,2,FALSE),BZ47)</f>
        <v>CC강화력</v>
      </c>
      <c r="CC47" s="72" t="str">
        <f t="array" ref="CC47">IFERROR(TRIM(_xlfn.REGEXEXTRACT(CA47,"(\d+[%]?$|[A-Z]+$)")),"")</f>
        <v>100</v>
      </c>
    </row>
    <row r="48" spans="2:81" ht="24" customHeight="1">
      <c r="W48" s="2" t="str">
        <f t="shared" ca="1" si="10"/>
        <v/>
      </c>
      <c r="X48" s="2" t="str">
        <f t="shared" ca="1" si="11"/>
        <v/>
      </c>
      <c r="Y48" s="2" t="str">
        <f t="shared" ca="1" si="12"/>
        <v/>
      </c>
      <c r="Z48" s="42" t="str">
        <f t="shared" ref="Z48" ca="1" si="62">IF(X47="","",$X$4&amp;" :"&amp;X47&amp;IF(X47=X48,"","("&amp;X48&amp;")"))</f>
        <v>실내 :D()</v>
      </c>
      <c r="AB48" s="1" t="s">
        <v>197</v>
      </c>
      <c r="AC48" s="4" t="s">
        <v>183</v>
      </c>
      <c r="AD48" s="4" t="str">
        <f>_xlfn.LET(_xlpm.titleCell, MATCH($AC$48, BR:BR, 0),_xlpm.nextTitleCell, IFERROR(_xlfn.AGGREGATE(15, 6, ROW($BR$2:$BR$100)/(LEFT($BR$2:$BR$100,1)="≪")/(ROW($BR$2:$BR$100)&gt;_xlpm.titleCell), 1), ROWS(BR:BR)+1),_xlpm.startRow, _xlpm.titleCell + 1,_xlpm.endRow, _xlpm.nextTitleCell - 1,_xlpm.colStart, COLUMN($BR$2),_xlpm.colEnd, _xlpm.colStart + 1,ADDRESS(_xlpm.startRow, _xlpm.colStart) &amp; ":" &amp; ADDRESS(_xlpm.endRow, _xlpm.colEnd))</f>
        <v>$BR$6:$BS$25</v>
      </c>
      <c r="AF48" s="68" t="s">
        <v>178</v>
      </c>
      <c r="AG48" s="70" t="str">
        <f t="shared" si="13"/>
        <v>攻撃力</v>
      </c>
      <c r="AH48" s="70" t="str">
        <f t="array" ref="AH48">IFERROR(TRIM(_xlfn.REGEXEXTRACT(AF48,"(\d.+[%]?$|[0-9]|[A-Z]+$)")),"")</f>
        <v>134</v>
      </c>
      <c r="AI48" s="71" t="str">
        <f>IFERROR(VLOOKUP(AG48,'사용자가 입력할 시트'!$AF$2:$AG$60,2,FALSE),AG48)</f>
        <v>공격력</v>
      </c>
      <c r="AJ48" s="72" t="str">
        <f t="array" ref="AJ48">IFERROR(TRIM(_xlfn.REGEXEXTRACT(AH48,"(\d+[%]?$|[A-Z]+$)")),"")</f>
        <v>134</v>
      </c>
      <c r="AK48" s="68" t="s">
        <v>178</v>
      </c>
      <c r="AL48" s="70" t="str">
        <f t="shared" si="14"/>
        <v>攻撃力</v>
      </c>
      <c r="AM48" s="70" t="str">
        <f t="array" ref="AM48">IFERROR(TRIM(_xlfn.REGEXEXTRACT(AK48,"(\d.+[%]?$|[0-9]|[A-Z]+$)")),"")</f>
        <v>134</v>
      </c>
      <c r="AN48" s="71" t="str">
        <f>IFERROR(VLOOKUP(AL48,'사용자가 입력할 시트'!$AF$2:$AG$60,2,FALSE),AL48)</f>
        <v>공격력</v>
      </c>
      <c r="AO48" s="72" t="str">
        <f t="array" ref="AO48">IFERROR(TRIM(_xlfn.REGEXEXTRACT(AM48,"(\d+[%]?$|[A-Z]+$)")),"")</f>
        <v>134</v>
      </c>
      <c r="AP48" s="68" t="s">
        <v>178</v>
      </c>
      <c r="AQ48" s="70" t="str">
        <f t="shared" si="15"/>
        <v>攻撃力</v>
      </c>
      <c r="AR48" s="70" t="str">
        <f t="array" ref="AR48">IFERROR(TRIM(_xlfn.REGEXEXTRACT(AP48,"(\d.+[%]?$|[0-9]|[A-Z]+$)")),"")</f>
        <v>134</v>
      </c>
      <c r="AS48" s="71" t="str">
        <f>IFERROR(VLOOKUP(AQ48,'사용자가 입력할 시트'!$AF$2:$AG$60,2,FALSE),AQ48)</f>
        <v>공격력</v>
      </c>
      <c r="AT48" s="72" t="str">
        <f t="array" ref="AT48">IFERROR(TRIM(_xlfn.REGEXEXTRACT(AR48,"(\d+[%]?$|[A-Z]+$)")),"")</f>
        <v>134</v>
      </c>
      <c r="AU48" s="68" t="s">
        <v>132</v>
      </c>
      <c r="AV48" s="70" t="str">
        <f t="shared" si="16"/>
        <v>振動特効</v>
      </c>
      <c r="AW48" s="70" t="str">
        <f t="array" ref="AW48">IFERROR(TRIM(_xlfn.REGEXEXTRACT(AU48,"(\d.+[%]?$|[0-9]|[A-Z]+$)")),"")</f>
        <v>210%</v>
      </c>
      <c r="AX48" s="71" t="str">
        <f>IFERROR(VLOOKUP(AV48,'사용자가 입력할 시트'!$AF$2:$AG$60,2,FALSE),AV48)</f>
        <v>진동특효</v>
      </c>
      <c r="AY48" s="72" t="str">
        <f t="array" ref="AY48">IFERROR(TRIM(_xlfn.REGEXEXTRACT(AW48,"(\d+[%]?$|[A-Z]+$)")),"")</f>
        <v>210%</v>
      </c>
      <c r="AZ48" s="68" t="s">
        <v>132</v>
      </c>
      <c r="BA48" s="70" t="str">
        <f t="shared" si="17"/>
        <v>振動特効</v>
      </c>
      <c r="BB48" s="70" t="str">
        <f t="array" ref="BB48">IFERROR(TRIM(_xlfn.REGEXEXTRACT(AZ48,"(\d.+[%]?$|[0-9]|[A-Z]+$)")),"")</f>
        <v>210%</v>
      </c>
      <c r="BC48" s="71" t="str">
        <f>IFERROR(VLOOKUP(BA48,'사용자가 입력할 시트'!$AF$2:$AG$60,2,FALSE),BA48)</f>
        <v>진동특효</v>
      </c>
      <c r="BD48" s="72" t="str">
        <f t="array" ref="BD48">IFERROR(TRIM(_xlfn.REGEXEXTRACT(BB48,"(\d+[%]?$|[A-Z]+$)")),"")</f>
        <v>210%</v>
      </c>
      <c r="BE48" s="68" t="s">
        <v>132</v>
      </c>
      <c r="BF48" s="70" t="str">
        <f t="shared" si="18"/>
        <v>振動特効</v>
      </c>
      <c r="BG48" s="70" t="str">
        <f t="array" ref="BG48">IFERROR(TRIM(_xlfn.REGEXEXTRACT(BE48,"(\d.+[%]?$|[0-9]|[A-Z]+$)")),"")</f>
        <v>210%</v>
      </c>
      <c r="BH48" s="71" t="str">
        <f>IFERROR(VLOOKUP(BF48,'사용자가 입력할 시트'!$AF$2:$AG$60,2,FALSE),BF48)</f>
        <v>진동특효</v>
      </c>
      <c r="BI48" s="72" t="str">
        <f t="array" ref="BI48">IFERROR(TRIM(_xlfn.REGEXEXTRACT(BG48,"(\d+[%]?$|[A-Z]+$)")),"")</f>
        <v>210%</v>
      </c>
      <c r="BJ48" s="68" t="s">
        <v>132</v>
      </c>
      <c r="BK48" s="70" t="str">
        <f t="shared" si="19"/>
        <v>振動特効</v>
      </c>
      <c r="BL48" s="70" t="str">
        <f t="array" ref="BL48">IFERROR(TRIM(_xlfn.REGEXEXTRACT(BJ48,"(\d.+[%]?$|[0-9]|[A-Z]+$)")),"")</f>
        <v>210%</v>
      </c>
      <c r="BM48" s="71" t="str">
        <f>IFERROR(VLOOKUP(BK48,'사용자가 입력할 시트'!$AF$2:$AG$60,2,FALSE),BK48)</f>
        <v>진동특효</v>
      </c>
      <c r="BN48" s="72" t="str">
        <f t="array" ref="BN48">IFERROR(TRIM(_xlfn.REGEXEXTRACT(BL48,"(\d+[%]?$|[A-Z]+$)")),"")</f>
        <v>210%</v>
      </c>
      <c r="BO48" s="68" t="s">
        <v>132</v>
      </c>
      <c r="BP48" s="70" t="str">
        <f t="shared" si="20"/>
        <v>振動特効</v>
      </c>
      <c r="BQ48" s="70" t="str">
        <f t="array" ref="BQ48">IFERROR(TRIM(_xlfn.REGEXEXTRACT(BO48,"(\d.+[%]?$|[0-9]|[A-Z]+$)")),"")</f>
        <v>210%</v>
      </c>
      <c r="BR48" s="71" t="str">
        <f>IFERROR(VLOOKUP(BP48,'사용자가 입력할 시트'!$AF$2:$AG$60,2,FALSE),BP48)</f>
        <v>진동특효</v>
      </c>
      <c r="BS48" s="72" t="str">
        <f t="array" ref="BS48">IFERROR(TRIM(_xlfn.REGEXEXTRACT(BQ48,"(\d+[%]?$|[A-Z]+$)")),"")</f>
        <v>210%</v>
      </c>
      <c r="BT48" s="68" t="s">
        <v>132</v>
      </c>
      <c r="BU48" s="70" t="str">
        <f t="shared" si="21"/>
        <v>振動特効</v>
      </c>
      <c r="BV48" s="70" t="str">
        <f t="array" ref="BV48">IFERROR(TRIM(_xlfn.REGEXEXTRACT(BT48,"(\d.+[%]?$|[0-9]|[A-Z]+$)")),"")</f>
        <v>210%</v>
      </c>
      <c r="BW48" s="71" t="str">
        <f>IFERROR(VLOOKUP(BU48,'사용자가 입력할 시트'!$AF$2:$AG$60,2,FALSE),BU48)</f>
        <v>진동특효</v>
      </c>
      <c r="BX48" s="72" t="str">
        <f t="array" ref="BX48">IFERROR(TRIM(_xlfn.REGEXEXTRACT(BV48,"(\d+[%]?$|[A-Z]+$)")),"")</f>
        <v>210%</v>
      </c>
      <c r="BY48" s="68" t="s">
        <v>132</v>
      </c>
      <c r="BZ48" s="70" t="str">
        <f t="shared" si="22"/>
        <v>振動特効</v>
      </c>
      <c r="CA48" s="70" t="str">
        <f t="array" ref="CA48">IFERROR(TRIM(_xlfn.REGEXEXTRACT(BY48,"(\d.+[%]?$|[0-9]|[A-Z]+$)")),"")</f>
        <v>210%</v>
      </c>
      <c r="CB48" s="71" t="str">
        <f>IFERROR(VLOOKUP(BZ48,'사용자가 입력할 시트'!$AF$2:$AG$60,2,FALSE),BZ48)</f>
        <v>진동특효</v>
      </c>
      <c r="CC48" s="72" t="str">
        <f t="array" ref="CC48">IFERROR(TRIM(_xlfn.REGEXEXTRACT(CA48,"(\d+[%]?$|[A-Z]+$)")),"")</f>
        <v>210%</v>
      </c>
    </row>
    <row r="49" spans="2:81">
      <c r="W49" s="2" t="str">
        <f t="shared" ca="1" si="10"/>
        <v/>
      </c>
      <c r="X49" s="2" t="str">
        <f t="shared" ca="1" si="11"/>
        <v/>
      </c>
      <c r="Y49" s="2" t="str">
        <f t="shared" ca="1" si="12"/>
        <v/>
      </c>
      <c r="Z49" s="42" t="str">
        <f t="shared" ref="Z49" ca="1" si="63">IF(Y47="","",$Y$4&amp;" :"&amp;Y47&amp;IF(Y47=Y48,"","("&amp;Y48&amp;")"))</f>
        <v>야외 :B()</v>
      </c>
      <c r="AC49" s="4" t="s">
        <v>185</v>
      </c>
      <c r="AD49" s="4" t="str">
        <f>_xlfn.LET(_xlpm.titleCell, MATCH($AC$49, BR:BR, 0),_xlpm.nextTitleCell, IFERROR(_xlfn.AGGREGATE(15, 6, ROW($BR$2:$BR$100)/(LEFT($BR$2:$BR$100,1)="≪")/(ROW($BR$2:$BR$100)&gt;_xlpm.titleCell), 1), ROWS(BR:BR)+1),_xlpm.startRow, _xlpm.titleCell + 1,_xlpm.endRow, _xlpm.nextTitleCell - 1,_xlpm.colStart, COLUMN($BR$2),_xlpm.colEnd, _xlpm.colStart + 1,ADDRESS(_xlpm.startRow, _xlpm.colStart) &amp; ":" &amp; ADDRESS(_xlpm.endRow, _xlpm.colEnd))</f>
        <v>$BR$27:$BS$29</v>
      </c>
      <c r="AF49" s="67" t="s">
        <v>93</v>
      </c>
      <c r="AG49" s="70" t="str">
        <f t="shared" si="13"/>
        <v>最大HP</v>
      </c>
      <c r="AH49" s="70" t="str">
        <f t="array" ref="AH49">IFERROR(TRIM(_xlfn.REGEXEXTRACT(AF49,"(\d.+[%]?$|[0-9]|[A-Z]+$)")),"")</f>
        <v>536</v>
      </c>
      <c r="AI49" s="71" t="str">
        <f>IFERROR(VLOOKUP(AG49,'사용자가 입력할 시트'!$AF$2:$AG$60,2,FALSE),AG49)</f>
        <v>체력</v>
      </c>
      <c r="AJ49" s="72" t="str">
        <f t="array" ref="AJ49">IFERROR(TRIM(_xlfn.REGEXEXTRACT(AH49,"(\d+[%]?$|[A-Z]+$)")),"")</f>
        <v>536</v>
      </c>
      <c r="AK49" s="67" t="s">
        <v>93</v>
      </c>
      <c r="AL49" s="70" t="str">
        <f t="shared" si="14"/>
        <v>最大HP</v>
      </c>
      <c r="AM49" s="70" t="str">
        <f t="array" ref="AM49">IFERROR(TRIM(_xlfn.REGEXEXTRACT(AK49,"(\d.+[%]?$|[0-9]|[A-Z]+$)")),"")</f>
        <v>536</v>
      </c>
      <c r="AN49" s="71" t="str">
        <f>IFERROR(VLOOKUP(AL49,'사용자가 입력할 시트'!$AF$2:$AG$60,2,FALSE),AL49)</f>
        <v>체력</v>
      </c>
      <c r="AO49" s="72" t="str">
        <f t="array" ref="AO49">IFERROR(TRIM(_xlfn.REGEXEXTRACT(AM49,"(\d+[%]?$|[A-Z]+$)")),"")</f>
        <v>536</v>
      </c>
      <c r="AP49" s="67" t="s">
        <v>93</v>
      </c>
      <c r="AQ49" s="70" t="str">
        <f t="shared" si="15"/>
        <v>最大HP</v>
      </c>
      <c r="AR49" s="70" t="str">
        <f t="array" ref="AR49">IFERROR(TRIM(_xlfn.REGEXEXTRACT(AP49,"(\d.+[%]?$|[0-9]|[A-Z]+$)")),"")</f>
        <v>536</v>
      </c>
      <c r="AS49" s="71" t="str">
        <f>IFERROR(VLOOKUP(AQ49,'사용자가 입력할 시트'!$AF$2:$AG$60,2,FALSE),AQ49)</f>
        <v>체력</v>
      </c>
      <c r="AT49" s="72" t="str">
        <f t="array" ref="AT49">IFERROR(TRIM(_xlfn.REGEXEXTRACT(AR49,"(\d+[%]?$|[A-Z]+$)")),"")</f>
        <v>536</v>
      </c>
      <c r="AU49" s="67" t="s">
        <v>133</v>
      </c>
      <c r="AV49" s="70" t="str">
        <f t="shared" si="16"/>
        <v>市街地戦闘力</v>
      </c>
      <c r="AW49" s="70" t="str">
        <f t="array" ref="AW49">IFERROR(TRIM(_xlfn.REGEXEXTRACT(AU49,"(\d.+[%]?$|[0-9]|[A-Z]+$)")),"")</f>
        <v>SS</v>
      </c>
      <c r="AX49" s="71" t="str">
        <f>IFERROR(VLOOKUP(AV49,'사용자가 입력할 시트'!$AF$2:$AG$60,2,FALSE),AV49)</f>
        <v>시가</v>
      </c>
      <c r="AY49" s="72" t="str">
        <f t="array" ref="AY49">IFERROR(TRIM(_xlfn.REGEXEXTRACT(AW49,"(\d+[%]?$|[A-Z]+$)")),"")</f>
        <v>SS</v>
      </c>
      <c r="AZ49" s="67" t="s">
        <v>133</v>
      </c>
      <c r="BA49" s="70" t="str">
        <f t="shared" si="17"/>
        <v>市街地戦闘力</v>
      </c>
      <c r="BB49" s="70" t="str">
        <f t="array" ref="BB49">IFERROR(TRIM(_xlfn.REGEXEXTRACT(AZ49,"(\d.+[%]?$|[0-9]|[A-Z]+$)")),"")</f>
        <v>SS</v>
      </c>
      <c r="BC49" s="71" t="str">
        <f>IFERROR(VLOOKUP(BA49,'사용자가 입력할 시트'!$AF$2:$AG$60,2,FALSE),BA49)</f>
        <v>시가</v>
      </c>
      <c r="BD49" s="72" t="str">
        <f t="array" ref="BD49">IFERROR(TRIM(_xlfn.REGEXEXTRACT(BB49,"(\d+[%]?$|[A-Z]+$)")),"")</f>
        <v>SS</v>
      </c>
      <c r="BE49" s="67" t="s">
        <v>133</v>
      </c>
      <c r="BF49" s="70" t="str">
        <f t="shared" si="18"/>
        <v>市街地戦闘力</v>
      </c>
      <c r="BG49" s="70" t="str">
        <f t="array" ref="BG49">IFERROR(TRIM(_xlfn.REGEXEXTRACT(BE49,"(\d.+[%]?$|[0-9]|[A-Z]+$)")),"")</f>
        <v>SS</v>
      </c>
      <c r="BH49" s="71" t="str">
        <f>IFERROR(VLOOKUP(BF49,'사용자가 입력할 시트'!$AF$2:$AG$60,2,FALSE),BF49)</f>
        <v>시가</v>
      </c>
      <c r="BI49" s="72" t="str">
        <f t="array" ref="BI49">IFERROR(TRIM(_xlfn.REGEXEXTRACT(BG49,"(\d+[%]?$|[A-Z]+$)")),"")</f>
        <v>SS</v>
      </c>
      <c r="BJ49" s="67" t="s">
        <v>133</v>
      </c>
      <c r="BK49" s="70" t="str">
        <f t="shared" si="19"/>
        <v>市街地戦闘力</v>
      </c>
      <c r="BL49" s="70" t="str">
        <f t="array" ref="BL49">IFERROR(TRIM(_xlfn.REGEXEXTRACT(BJ49,"(\d.+[%]?$|[0-9]|[A-Z]+$)")),"")</f>
        <v>SS</v>
      </c>
      <c r="BM49" s="71" t="str">
        <f>IFERROR(VLOOKUP(BK49,'사용자가 입력할 시트'!$AF$2:$AG$60,2,FALSE),BK49)</f>
        <v>시가</v>
      </c>
      <c r="BN49" s="72" t="str">
        <f t="array" ref="BN49">IFERROR(TRIM(_xlfn.REGEXEXTRACT(BL49,"(\d+[%]?$|[A-Z]+$)")),"")</f>
        <v>SS</v>
      </c>
      <c r="BO49" s="67" t="s">
        <v>133</v>
      </c>
      <c r="BP49" s="70" t="str">
        <f t="shared" si="20"/>
        <v>市街地戦闘力</v>
      </c>
      <c r="BQ49" s="70" t="str">
        <f t="array" ref="BQ49">IFERROR(TRIM(_xlfn.REGEXEXTRACT(BO49,"(\d.+[%]?$|[0-9]|[A-Z]+$)")),"")</f>
        <v>SS</v>
      </c>
      <c r="BR49" s="71" t="str">
        <f>IFERROR(VLOOKUP(BP49,'사용자가 입력할 시트'!$AF$2:$AG$60,2,FALSE),BP49)</f>
        <v>시가</v>
      </c>
      <c r="BS49" s="72" t="str">
        <f t="array" ref="BS49">IFERROR(TRIM(_xlfn.REGEXEXTRACT(BQ49,"(\d+[%]?$|[A-Z]+$)")),"")</f>
        <v>SS</v>
      </c>
      <c r="BT49" s="67" t="s">
        <v>133</v>
      </c>
      <c r="BU49" s="70" t="str">
        <f t="shared" si="21"/>
        <v>市街地戦闘力</v>
      </c>
      <c r="BV49" s="70" t="str">
        <f t="array" ref="BV49">IFERROR(TRIM(_xlfn.REGEXEXTRACT(BT49,"(\d.+[%]?$|[0-9]|[A-Z]+$)")),"")</f>
        <v>SS</v>
      </c>
      <c r="BW49" s="71" t="str">
        <f>IFERROR(VLOOKUP(BU49,'사용자가 입력할 시트'!$AF$2:$AG$60,2,FALSE),BU49)</f>
        <v>시가</v>
      </c>
      <c r="BX49" s="72" t="str">
        <f t="array" ref="BX49">IFERROR(TRIM(_xlfn.REGEXEXTRACT(BV49,"(\d+[%]?$|[A-Z]+$)")),"")</f>
        <v>SS</v>
      </c>
      <c r="BY49" s="67" t="s">
        <v>133</v>
      </c>
      <c r="BZ49" s="70" t="str">
        <f t="shared" si="22"/>
        <v>市街地戦闘力</v>
      </c>
      <c r="CA49" s="70" t="str">
        <f t="array" ref="CA49">IFERROR(TRIM(_xlfn.REGEXEXTRACT(BY49,"(\d.+[%]?$|[0-9]|[A-Z]+$)")),"")</f>
        <v>SS</v>
      </c>
      <c r="CB49" s="71" t="str">
        <f>IFERROR(VLOOKUP(BZ49,'사용자가 입력할 시트'!$AF$2:$AG$60,2,FALSE),BZ49)</f>
        <v>시가</v>
      </c>
      <c r="CC49" s="72" t="str">
        <f t="array" ref="CC49">IFERROR(TRIM(_xlfn.REGEXEXTRACT(CA49,"(\d+[%]?$|[A-Z]+$)")),"")</f>
        <v>SS</v>
      </c>
    </row>
    <row r="50" spans="2:81" s="4" customFormat="1" ht="24.75" customHeight="1">
      <c r="B50" s="2" t="s">
        <v>169</v>
      </c>
      <c r="C50" s="2" t="s">
        <v>24</v>
      </c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 t="str">
        <f t="shared" ca="1" si="10"/>
        <v>SS</v>
      </c>
      <c r="X50" s="2" t="str">
        <f t="shared" ca="1" si="11"/>
        <v>D</v>
      </c>
      <c r="Y50" s="2" t="str">
        <f t="shared" ca="1" si="12"/>
        <v>B</v>
      </c>
      <c r="Z50" s="42" t="str">
        <f t="shared" ref="Z50" ca="1" si="64">IF(W50="","",$W$4&amp;" :"&amp;W50&amp;IF(W50=W51,"","("&amp;W51&amp;")"))</f>
        <v>시가 :SS()</v>
      </c>
      <c r="AC50" s="4" t="s">
        <v>186</v>
      </c>
      <c r="AD50" s="4" t="str">
        <f>_xlfn.LET(_xlpm.titleCell, MATCH($AC$50, BR:BR, 0),_xlpm.nextTitleCell, IFERROR(_xlfn.AGGREGATE(15, 6, ROW($BR$2:$BR$100)/(LEFT($BR$2:$BR$100,1)="≪")/(ROW($BR$2:$BR$100)&gt;_xlpm.titleCell), 1), ROWS(BR:BR)+1),_xlpm.startRow, _xlpm.titleCell + 1,_xlpm.endRow, _xlpm.nextTitleCell - 1,_xlpm.colStart, COLUMN($BR$2),_xlpm.colEnd, _xlpm.colStart + 1,ADDRESS(_xlpm.startRow, _xlpm.colStart) &amp; ":" &amp; ADDRESS(_xlpm.endRow, _xlpm.colEnd))</f>
        <v>$BR$31:$BS$34</v>
      </c>
      <c r="AE50" s="1"/>
      <c r="AF50" s="67"/>
      <c r="AG50" s="70" t="str">
        <f t="shared" si="13"/>
        <v/>
      </c>
      <c r="AH50" s="70" t="str">
        <f t="array" ref="AH50">IFERROR(TRIM(_xlfn.REGEXEXTRACT(AF50,"(\d.+[%]?$|[0-9]|[A-Z]+$)")),"")</f>
        <v/>
      </c>
      <c r="AI50" s="71" t="str">
        <f>IFERROR(VLOOKUP(AG50,'사용자가 입력할 시트'!$AF$2:$AG$60,2,FALSE),AG50)</f>
        <v/>
      </c>
      <c r="AJ50" s="72" t="str">
        <f t="array" ref="AJ50">IFERROR(TRIM(_xlfn.REGEXEXTRACT(AH50,"(\d+[%]?$|[A-Z]+$)")),"")</f>
        <v/>
      </c>
      <c r="AK50" s="67"/>
      <c r="AL50" s="70" t="str">
        <f t="shared" si="14"/>
        <v/>
      </c>
      <c r="AM50" s="70" t="str">
        <f t="array" ref="AM50">IFERROR(TRIM(_xlfn.REGEXEXTRACT(AK50,"(\d.+[%]?$|[0-9]|[A-Z]+$)")),"")</f>
        <v/>
      </c>
      <c r="AN50" s="71" t="str">
        <f>IFERROR(VLOOKUP(AL50,'사용자가 입력할 시트'!$AF$2:$AG$60,2,FALSE),AL50)</f>
        <v/>
      </c>
      <c r="AO50" s="72" t="str">
        <f t="array" ref="AO50">IFERROR(TRIM(_xlfn.REGEXEXTRACT(AM50,"(\d+[%]?$|[A-Z]+$)")),"")</f>
        <v/>
      </c>
      <c r="AP50" s="67"/>
      <c r="AQ50" s="70" t="str">
        <f t="shared" si="15"/>
        <v/>
      </c>
      <c r="AR50" s="70" t="str">
        <f t="array" ref="AR50">IFERROR(TRIM(_xlfn.REGEXEXTRACT(AP50,"(\d.+[%]?$|[0-9]|[A-Z]+$)")),"")</f>
        <v/>
      </c>
      <c r="AS50" s="71" t="str">
        <f>IFERROR(VLOOKUP(AQ50,'사용자가 입력할 시트'!$AF$2:$AG$60,2,FALSE),AQ50)</f>
        <v/>
      </c>
      <c r="AT50" s="72" t="str">
        <f t="array" ref="AT50">IFERROR(TRIM(_xlfn.REGEXEXTRACT(AR50,"(\d+[%]?$|[A-Z]+$)")),"")</f>
        <v/>
      </c>
      <c r="AU50" s="67" t="s">
        <v>122</v>
      </c>
      <c r="AV50" s="70" t="str">
        <f t="shared" si="16"/>
        <v>屋内戦闘力</v>
      </c>
      <c r="AW50" s="70" t="str">
        <f t="array" ref="AW50">IFERROR(TRIM(_xlfn.REGEXEXTRACT(AU50,"(\d.+[%]?$|[0-9]|[A-Z]+$)")),"")</f>
        <v>D</v>
      </c>
      <c r="AX50" s="71" t="str">
        <f>IFERROR(VLOOKUP(AV50,'사용자가 입력할 시트'!$AF$2:$AG$60,2,FALSE),AV50)</f>
        <v>실내</v>
      </c>
      <c r="AY50" s="72" t="str">
        <f t="array" ref="AY50">IFERROR(TRIM(_xlfn.REGEXEXTRACT(AW50,"(\d+[%]?$|[A-Z]+$)")),"")</f>
        <v>D</v>
      </c>
      <c r="AZ50" s="67" t="s">
        <v>122</v>
      </c>
      <c r="BA50" s="70" t="str">
        <f t="shared" si="17"/>
        <v>屋内戦闘力</v>
      </c>
      <c r="BB50" s="70" t="str">
        <f t="array" ref="BB50">IFERROR(TRIM(_xlfn.REGEXEXTRACT(AZ50,"(\d.+[%]?$|[0-9]|[A-Z]+$)")),"")</f>
        <v>D</v>
      </c>
      <c r="BC50" s="71" t="str">
        <f>IFERROR(VLOOKUP(BA50,'사용자가 입력할 시트'!$AF$2:$AG$60,2,FALSE),BA50)</f>
        <v>실내</v>
      </c>
      <c r="BD50" s="72" t="str">
        <f t="array" ref="BD50">IFERROR(TRIM(_xlfn.REGEXEXTRACT(BB50,"(\d+[%]?$|[A-Z]+$)")),"")</f>
        <v>D</v>
      </c>
      <c r="BE50" s="67" t="s">
        <v>122</v>
      </c>
      <c r="BF50" s="70" t="str">
        <f t="shared" si="18"/>
        <v>屋内戦闘力</v>
      </c>
      <c r="BG50" s="70" t="str">
        <f t="array" ref="BG50">IFERROR(TRIM(_xlfn.REGEXEXTRACT(BE50,"(\d.+[%]?$|[0-9]|[A-Z]+$)")),"")</f>
        <v>D</v>
      </c>
      <c r="BH50" s="71" t="str">
        <f>IFERROR(VLOOKUP(BF50,'사용자가 입력할 시트'!$AF$2:$AG$60,2,FALSE),BF50)</f>
        <v>실내</v>
      </c>
      <c r="BI50" s="72" t="str">
        <f t="array" ref="BI50">IFERROR(TRIM(_xlfn.REGEXEXTRACT(BG50,"(\d+[%]?$|[A-Z]+$)")),"")</f>
        <v>D</v>
      </c>
      <c r="BJ50" s="67" t="s">
        <v>122</v>
      </c>
      <c r="BK50" s="70" t="str">
        <f t="shared" si="19"/>
        <v>屋内戦闘力</v>
      </c>
      <c r="BL50" s="70" t="str">
        <f t="array" ref="BL50">IFERROR(TRIM(_xlfn.REGEXEXTRACT(BJ50,"(\d.+[%]?$|[0-9]|[A-Z]+$)")),"")</f>
        <v>D</v>
      </c>
      <c r="BM50" s="71" t="str">
        <f>IFERROR(VLOOKUP(BK50,'사용자가 입력할 시트'!$AF$2:$AG$60,2,FALSE),BK50)</f>
        <v>실내</v>
      </c>
      <c r="BN50" s="72" t="str">
        <f t="array" ref="BN50">IFERROR(TRIM(_xlfn.REGEXEXTRACT(BL50,"(\d+[%]?$|[A-Z]+$)")),"")</f>
        <v>D</v>
      </c>
      <c r="BO50" s="67" t="s">
        <v>122</v>
      </c>
      <c r="BP50" s="70" t="str">
        <f t="shared" si="20"/>
        <v>屋内戦闘力</v>
      </c>
      <c r="BQ50" s="70" t="str">
        <f t="array" ref="BQ50">IFERROR(TRIM(_xlfn.REGEXEXTRACT(BO50,"(\d.+[%]?$|[0-9]|[A-Z]+$)")),"")</f>
        <v>D</v>
      </c>
      <c r="BR50" s="71" t="str">
        <f>IFERROR(VLOOKUP(BP50,'사용자가 입력할 시트'!$AF$2:$AG$60,2,FALSE),BP50)</f>
        <v>실내</v>
      </c>
      <c r="BS50" s="72" t="str">
        <f t="array" ref="BS50">IFERROR(TRIM(_xlfn.REGEXEXTRACT(BQ50,"(\d+[%]?$|[A-Z]+$)")),"")</f>
        <v>D</v>
      </c>
      <c r="BT50" s="67" t="s">
        <v>122</v>
      </c>
      <c r="BU50" s="70" t="str">
        <f t="shared" si="21"/>
        <v>屋内戦闘力</v>
      </c>
      <c r="BV50" s="70" t="str">
        <f t="array" ref="BV50">IFERROR(TRIM(_xlfn.REGEXEXTRACT(BT50,"(\d.+[%]?$|[0-9]|[A-Z]+$)")),"")</f>
        <v>D</v>
      </c>
      <c r="BW50" s="71" t="str">
        <f>IFERROR(VLOOKUP(BU50,'사용자가 입력할 시트'!$AF$2:$AG$60,2,FALSE),BU50)</f>
        <v>실내</v>
      </c>
      <c r="BX50" s="72" t="str">
        <f t="array" ref="BX50">IFERROR(TRIM(_xlfn.REGEXEXTRACT(BV50,"(\d+[%]?$|[A-Z]+$)")),"")</f>
        <v>D</v>
      </c>
      <c r="BY50" s="67" t="s">
        <v>122</v>
      </c>
      <c r="BZ50" s="70" t="str">
        <f t="shared" si="22"/>
        <v>屋内戦闘力</v>
      </c>
      <c r="CA50" s="70" t="str">
        <f t="array" ref="CA50">IFERROR(TRIM(_xlfn.REGEXEXTRACT(BY50,"(\d.+[%]?$|[0-9]|[A-Z]+$)")),"")</f>
        <v>D</v>
      </c>
      <c r="CB50" s="71" t="str">
        <f>IFERROR(VLOOKUP(BZ50,'사용자가 입력할 시트'!$AF$2:$AG$60,2,FALSE),BZ50)</f>
        <v>실내</v>
      </c>
      <c r="CC50" s="72" t="str">
        <f t="array" ref="CC50">IFERROR(TRIM(_xlfn.REGEXEXTRACT(CA50,"(\d+[%]?$|[A-Z]+$)")),"")</f>
        <v>D</v>
      </c>
    </row>
    <row r="51" spans="2:81" s="4" customFormat="1" ht="17.25" customHeight="1"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 t="str">
        <f t="shared" ca="1" si="10"/>
        <v/>
      </c>
      <c r="X51" s="2" t="str">
        <f t="shared" ca="1" si="11"/>
        <v/>
      </c>
      <c r="Y51" s="2" t="str">
        <f t="shared" ca="1" si="12"/>
        <v/>
      </c>
      <c r="Z51" s="42" t="str">
        <f t="shared" ref="Z51" ca="1" si="65">IF(X50="","",$X$4&amp;" :"&amp;X50&amp;IF(X50=X51,"","("&amp;X51&amp;")"))</f>
        <v>실내 :D()</v>
      </c>
      <c r="AC51" s="4" t="s">
        <v>184</v>
      </c>
      <c r="AD51" s="4" t="str">
        <f>_xlfn.LET(_xlpm.titleCell, MATCH($AC$51, BR:BR, 0),_xlpm.nextTitleCell, IFERROR(_xlfn.AGGREGATE(15, 6, ROW($BR$2:$BR$100)/(LEFT($BR$2:$BR$100,1)="≪")/(ROW($BR$2:$BR$100)&gt;_xlpm.titleCell), 1), ROWS(BR:BR)+1),_xlpm.startRow, _xlpm.titleCell + 1,_xlpm.endRow, _xlpm.nextTitleCell - 1,_xlpm.colStart, COLUMN($BR$2),_xlpm.colEnd, _xlpm.colStart + 1,ADDRESS(_xlpm.startRow, _xlpm.colStart) &amp; ":" &amp; ADDRESS(_xlpm.endRow, _xlpm.colEnd))</f>
        <v>$BR$36:$BS$55</v>
      </c>
      <c r="AE51" s="1"/>
      <c r="AF51" s="67" t="s">
        <v>39</v>
      </c>
      <c r="AG51" s="70" t="str">
        <f t="shared" si="13"/>
        <v>≪고유무기 만렙≫</v>
      </c>
      <c r="AH51" s="70" t="str">
        <f t="array" ref="AH51">IFERROR(TRIM(_xlfn.REGEXEXTRACT(AF51,"(\d.+[%]?$|[0-9]|[A-Z]+$)")),"")</f>
        <v/>
      </c>
      <c r="AI51" s="71" t="str">
        <f>IFERROR(VLOOKUP(AG51,'사용자가 입력할 시트'!$AF$2:$AG$60,2,FALSE),AG51)</f>
        <v>≪고유무기 만렙≫</v>
      </c>
      <c r="AJ51" s="72" t="str">
        <f t="array" ref="AJ51">IFERROR(TRIM(_xlfn.REGEXEXTRACT(AH51,"(\d+[%]?$|[A-Z]+$)")),"")</f>
        <v/>
      </c>
      <c r="AK51" s="67" t="s">
        <v>39</v>
      </c>
      <c r="AL51" s="70" t="str">
        <f t="shared" si="14"/>
        <v>≪고유무기 만렙≫</v>
      </c>
      <c r="AM51" s="70" t="str">
        <f t="array" ref="AM51">IFERROR(TRIM(_xlfn.REGEXEXTRACT(AK51,"(\d.+[%]?$|[0-9]|[A-Z]+$)")),"")</f>
        <v/>
      </c>
      <c r="AN51" s="71" t="str">
        <f>IFERROR(VLOOKUP(AL51,'사용자가 입력할 시트'!$AF$2:$AG$60,2,FALSE),AL51)</f>
        <v>≪고유무기 만렙≫</v>
      </c>
      <c r="AO51" s="72" t="str">
        <f t="array" ref="AO51">IFERROR(TRIM(_xlfn.REGEXEXTRACT(AM51,"(\d+[%]?$|[A-Z]+$)")),"")</f>
        <v/>
      </c>
      <c r="AP51" s="67" t="s">
        <v>39</v>
      </c>
      <c r="AQ51" s="70" t="str">
        <f t="shared" si="15"/>
        <v>≪고유무기 만렙≫</v>
      </c>
      <c r="AR51" s="70" t="str">
        <f t="array" ref="AR51">IFERROR(TRIM(_xlfn.REGEXEXTRACT(AP51,"(\d.+[%]?$|[0-9]|[A-Z]+$)")),"")</f>
        <v/>
      </c>
      <c r="AS51" s="71" t="str">
        <f>IFERROR(VLOOKUP(AQ51,'사용자가 입력할 시트'!$AF$2:$AG$60,2,FALSE),AQ51)</f>
        <v>≪고유무기 만렙≫</v>
      </c>
      <c r="AT51" s="72" t="str">
        <f t="array" ref="AT51">IFERROR(TRIM(_xlfn.REGEXEXTRACT(AR51,"(\d+[%]?$|[A-Z]+$)")),"")</f>
        <v/>
      </c>
      <c r="AU51" s="67" t="s">
        <v>64</v>
      </c>
      <c r="AV51" s="70" t="str">
        <f t="shared" si="16"/>
        <v>コスト回復力</v>
      </c>
      <c r="AW51" s="70" t="str">
        <f t="array" ref="AW51">IFERROR(TRIM(_xlfn.REGEXEXTRACT(AU51,"(\d.+[%]?$|[0-9]|[A-Z]+$)")),"")</f>
        <v>700</v>
      </c>
      <c r="AX51" s="71" t="str">
        <f>IFERROR(VLOOKUP(AV51,'사용자가 입력할 시트'!$AF$2:$AG$60,2,FALSE),AV51)</f>
        <v>코스트회복</v>
      </c>
      <c r="AY51" s="72" t="str">
        <f t="array" ref="AY51">IFERROR(TRIM(_xlfn.REGEXEXTRACT(AW51,"(\d+[%]?$|[A-Z]+$)")),"")</f>
        <v>700</v>
      </c>
      <c r="AZ51" s="67" t="s">
        <v>64</v>
      </c>
      <c r="BA51" s="70" t="str">
        <f t="shared" si="17"/>
        <v>コスト回復力</v>
      </c>
      <c r="BB51" s="70" t="str">
        <f t="array" ref="BB51">IFERROR(TRIM(_xlfn.REGEXEXTRACT(AZ51,"(\d.+[%]?$|[0-9]|[A-Z]+$)")),"")</f>
        <v>700</v>
      </c>
      <c r="BC51" s="71" t="str">
        <f>IFERROR(VLOOKUP(BA51,'사용자가 입력할 시트'!$AF$2:$AG$60,2,FALSE),BA51)</f>
        <v>코스트회복</v>
      </c>
      <c r="BD51" s="72" t="str">
        <f t="array" ref="BD51">IFERROR(TRIM(_xlfn.REGEXEXTRACT(BB51,"(\d+[%]?$|[A-Z]+$)")),"")</f>
        <v>700</v>
      </c>
      <c r="BE51" s="67" t="s">
        <v>64</v>
      </c>
      <c r="BF51" s="70" t="str">
        <f t="shared" si="18"/>
        <v>コスト回復力</v>
      </c>
      <c r="BG51" s="70" t="str">
        <f t="array" ref="BG51">IFERROR(TRIM(_xlfn.REGEXEXTRACT(BE51,"(\d.+[%]?$|[0-9]|[A-Z]+$)")),"")</f>
        <v>700</v>
      </c>
      <c r="BH51" s="71" t="str">
        <f>IFERROR(VLOOKUP(BF51,'사용자가 입력할 시트'!$AF$2:$AG$60,2,FALSE),BF51)</f>
        <v>코스트회복</v>
      </c>
      <c r="BI51" s="72" t="str">
        <f t="array" ref="BI51">IFERROR(TRIM(_xlfn.REGEXEXTRACT(BG51,"(\d+[%]?$|[A-Z]+$)")),"")</f>
        <v>700</v>
      </c>
      <c r="BJ51" s="67" t="s">
        <v>64</v>
      </c>
      <c r="BK51" s="70" t="str">
        <f t="shared" si="19"/>
        <v>コスト回復力</v>
      </c>
      <c r="BL51" s="70" t="str">
        <f t="array" ref="BL51">IFERROR(TRIM(_xlfn.REGEXEXTRACT(BJ51,"(\d.+[%]?$|[0-9]|[A-Z]+$)")),"")</f>
        <v>700</v>
      </c>
      <c r="BM51" s="71" t="str">
        <f>IFERROR(VLOOKUP(BK51,'사용자가 입력할 시트'!$AF$2:$AG$60,2,FALSE),BK51)</f>
        <v>코스트회복</v>
      </c>
      <c r="BN51" s="72" t="str">
        <f t="array" ref="BN51">IFERROR(TRIM(_xlfn.REGEXEXTRACT(BL51,"(\d+[%]?$|[A-Z]+$)")),"")</f>
        <v>700</v>
      </c>
      <c r="BO51" s="67" t="s">
        <v>64</v>
      </c>
      <c r="BP51" s="70" t="str">
        <f t="shared" si="20"/>
        <v>コスト回復力</v>
      </c>
      <c r="BQ51" s="70" t="str">
        <f t="array" ref="BQ51">IFERROR(TRIM(_xlfn.REGEXEXTRACT(BO51,"(\d.+[%]?$|[0-9]|[A-Z]+$)")),"")</f>
        <v>700</v>
      </c>
      <c r="BR51" s="71" t="str">
        <f>IFERROR(VLOOKUP(BP51,'사용자가 입력할 시트'!$AF$2:$AG$60,2,FALSE),BP51)</f>
        <v>코스트회복</v>
      </c>
      <c r="BS51" s="72" t="str">
        <f t="array" ref="BS51">IFERROR(TRIM(_xlfn.REGEXEXTRACT(BQ51,"(\d+[%]?$|[A-Z]+$)")),"")</f>
        <v>700</v>
      </c>
      <c r="BT51" s="67" t="s">
        <v>64</v>
      </c>
      <c r="BU51" s="70" t="str">
        <f t="shared" si="21"/>
        <v>コスト回復力</v>
      </c>
      <c r="BV51" s="70" t="str">
        <f t="array" ref="BV51">IFERROR(TRIM(_xlfn.REGEXEXTRACT(BT51,"(\d.+[%]?$|[0-9]|[A-Z]+$)")),"")</f>
        <v>700</v>
      </c>
      <c r="BW51" s="71" t="str">
        <f>IFERROR(VLOOKUP(BU51,'사용자가 입력할 시트'!$AF$2:$AG$60,2,FALSE),BU51)</f>
        <v>코스트회복</v>
      </c>
      <c r="BX51" s="72" t="str">
        <f t="array" ref="BX51">IFERROR(TRIM(_xlfn.REGEXEXTRACT(BV51,"(\d+[%]?$|[A-Z]+$)")),"")</f>
        <v>700</v>
      </c>
      <c r="BY51" s="67" t="s">
        <v>64</v>
      </c>
      <c r="BZ51" s="70" t="str">
        <f t="shared" si="22"/>
        <v>コスト回復力</v>
      </c>
      <c r="CA51" s="70" t="str">
        <f t="array" ref="CA51">IFERROR(TRIM(_xlfn.REGEXEXTRACT(BY51,"(\d.+[%]?$|[0-9]|[A-Z]+$)")),"")</f>
        <v>700</v>
      </c>
      <c r="CB51" s="71" t="str">
        <f>IFERROR(VLOOKUP(BZ51,'사용자가 입력할 시트'!$AF$2:$AG$60,2,FALSE),BZ51)</f>
        <v>코스트회복</v>
      </c>
      <c r="CC51" s="72" t="str">
        <f t="array" ref="CC51">IFERROR(TRIM(_xlfn.REGEXEXTRACT(CA51,"(\d+[%]?$|[A-Z]+$)")),"")</f>
        <v>700</v>
      </c>
    </row>
    <row r="52" spans="2:81">
      <c r="C52" s="2" t="s">
        <v>173</v>
      </c>
      <c r="W52" s="2" t="str">
        <f t="shared" ca="1" si="10"/>
        <v/>
      </c>
      <c r="X52" s="2" t="str">
        <f t="shared" ca="1" si="11"/>
        <v/>
      </c>
      <c r="Y52" s="2" t="str">
        <f t="shared" ca="1" si="12"/>
        <v/>
      </c>
      <c r="Z52" s="42" t="str">
        <f t="shared" ref="Z52" ca="1" si="66">IF(Y50="","",$Y$4&amp;" :"&amp;Y50&amp;IF(Y50=Y51,"","("&amp;Y51&amp;")"))</f>
        <v>야외 :B()</v>
      </c>
      <c r="AC52" s="4" t="s">
        <v>192</v>
      </c>
      <c r="AD52" s="4" t="str">
        <f>_xlfn.LET(_xlpm.titleCell, MATCH($AC$52, BR:BR, 0),_xlpm.nextTitleCell, IFERROR(_xlfn.AGGREGATE(15, 6, ROW($BR$2:$BR$100)/(LEFT($BR$2:$BR$100,1)="≪")/(ROW($BR$2:$BR$100)&gt;_xlpm.titleCell), 1), ROWS(BR:BR)+1),_xlpm.startRow, _xlpm.titleCell + 1,_xlpm.endRow, _xlpm.nextTitleCell - 1,_xlpm.colStart, COLUMN($BR$2),_xlpm.colEnd, _xlpm.colStart + 1,ADDRESS(_xlpm.startRow, _xlpm.colStart) &amp; ":" &amp; ADDRESS(_xlpm.endRow, _xlpm.colEnd))</f>
        <v>$BR$57:$BS$59</v>
      </c>
      <c r="AF52" s="67" t="s">
        <v>126</v>
      </c>
      <c r="AG52" s="70" t="str">
        <f t="shared" si="13"/>
        <v>攻撃力</v>
      </c>
      <c r="AH52" s="70" t="str">
        <f t="array" ref="AH52">IFERROR(TRIM(_xlfn.REGEXEXTRACT(AF52,"(\d.+[%]?$|[0-9]|[A-Z]+$)")),"")</f>
        <v>855</v>
      </c>
      <c r="AI52" s="71" t="str">
        <f>IFERROR(VLOOKUP(AG52,'사용자가 입력할 시트'!$AF$2:$AG$60,2,FALSE),AG52)</f>
        <v>공격력</v>
      </c>
      <c r="AJ52" s="72" t="str">
        <f t="array" ref="AJ52">IFERROR(TRIM(_xlfn.REGEXEXTRACT(AH52,"(\d+[%]?$|[A-Z]+$)")),"")</f>
        <v>855</v>
      </c>
      <c r="AK52" s="67" t="s">
        <v>126</v>
      </c>
      <c r="AL52" s="70" t="str">
        <f t="shared" si="14"/>
        <v>攻撃力</v>
      </c>
      <c r="AM52" s="70" t="str">
        <f t="array" ref="AM52">IFERROR(TRIM(_xlfn.REGEXEXTRACT(AK52,"(\d.+[%]?$|[0-9]|[A-Z]+$)")),"")</f>
        <v>855</v>
      </c>
      <c r="AN52" s="71" t="str">
        <f>IFERROR(VLOOKUP(AL52,'사용자가 입력할 시트'!$AF$2:$AG$60,2,FALSE),AL52)</f>
        <v>공격력</v>
      </c>
      <c r="AO52" s="72" t="str">
        <f t="array" ref="AO52">IFERROR(TRIM(_xlfn.REGEXEXTRACT(AM52,"(\d+[%]?$|[A-Z]+$)")),"")</f>
        <v>855</v>
      </c>
      <c r="AP52" s="67" t="s">
        <v>126</v>
      </c>
      <c r="AQ52" s="70" t="str">
        <f t="shared" si="15"/>
        <v>攻撃力</v>
      </c>
      <c r="AR52" s="70" t="str">
        <f t="array" ref="AR52">IFERROR(TRIM(_xlfn.REGEXEXTRACT(AP52,"(\d.+[%]?$|[0-9]|[A-Z]+$)")),"")</f>
        <v>855</v>
      </c>
      <c r="AS52" s="71" t="str">
        <f>IFERROR(VLOOKUP(AQ52,'사용자가 입력할 시트'!$AF$2:$AG$60,2,FALSE),AQ52)</f>
        <v>공격력</v>
      </c>
      <c r="AT52" s="72" t="str">
        <f t="array" ref="AT52">IFERROR(TRIM(_xlfn.REGEXEXTRACT(AR52,"(\d+[%]?$|[A-Z]+$)")),"")</f>
        <v>855</v>
      </c>
      <c r="AU52" s="67" t="s">
        <v>85</v>
      </c>
      <c r="AV52" s="70" t="str">
        <f t="shared" si="16"/>
        <v>CC抵抗力</v>
      </c>
      <c r="AW52" s="70" t="str">
        <f t="array" ref="AW52">IFERROR(TRIM(_xlfn.REGEXEXTRACT(AU52,"(\d.+[%]?$|[0-9]|[A-Z]+$)")),"")</f>
        <v>136</v>
      </c>
      <c r="AX52" s="71" t="str">
        <f>IFERROR(VLOOKUP(AV52,'사용자가 입력할 시트'!$AF$2:$AG$60,2,FALSE),AV52)</f>
        <v>CC저항력</v>
      </c>
      <c r="AY52" s="72" t="str">
        <f t="array" ref="AY52">IFERROR(TRIM(_xlfn.REGEXEXTRACT(AW52,"(\d+[%]?$|[A-Z]+$)")),"")</f>
        <v>136</v>
      </c>
      <c r="AZ52" s="67" t="s">
        <v>85</v>
      </c>
      <c r="BA52" s="70" t="str">
        <f t="shared" si="17"/>
        <v>CC抵抗力</v>
      </c>
      <c r="BB52" s="70" t="str">
        <f t="array" ref="BB52">IFERROR(TRIM(_xlfn.REGEXEXTRACT(AZ52,"(\d.+[%]?$|[0-9]|[A-Z]+$)")),"")</f>
        <v>136</v>
      </c>
      <c r="BC52" s="71" t="str">
        <f>IFERROR(VLOOKUP(BA52,'사용자가 입력할 시트'!$AF$2:$AG$60,2,FALSE),BA52)</f>
        <v>CC저항력</v>
      </c>
      <c r="BD52" s="72" t="str">
        <f t="array" ref="BD52">IFERROR(TRIM(_xlfn.REGEXEXTRACT(BB52,"(\d+[%]?$|[A-Z]+$)")),"")</f>
        <v>136</v>
      </c>
      <c r="BE52" s="67" t="s">
        <v>85</v>
      </c>
      <c r="BF52" s="70" t="str">
        <f t="shared" si="18"/>
        <v>CC抵抗力</v>
      </c>
      <c r="BG52" s="70" t="str">
        <f t="array" ref="BG52">IFERROR(TRIM(_xlfn.REGEXEXTRACT(BE52,"(\d.+[%]?$|[0-9]|[A-Z]+$)")),"")</f>
        <v>136</v>
      </c>
      <c r="BH52" s="71" t="str">
        <f>IFERROR(VLOOKUP(BF52,'사용자가 입력할 시트'!$AF$2:$AG$60,2,FALSE),BF52)</f>
        <v>CC저항력</v>
      </c>
      <c r="BI52" s="72" t="str">
        <f t="array" ref="BI52">IFERROR(TRIM(_xlfn.REGEXEXTRACT(BG52,"(\d+[%]?$|[A-Z]+$)")),"")</f>
        <v>136</v>
      </c>
      <c r="BJ52" s="67" t="s">
        <v>85</v>
      </c>
      <c r="BK52" s="70" t="str">
        <f t="shared" si="19"/>
        <v>CC抵抗力</v>
      </c>
      <c r="BL52" s="70" t="str">
        <f t="array" ref="BL52">IFERROR(TRIM(_xlfn.REGEXEXTRACT(BJ52,"(\d.+[%]?$|[0-9]|[A-Z]+$)")),"")</f>
        <v>136</v>
      </c>
      <c r="BM52" s="71" t="str">
        <f>IFERROR(VLOOKUP(BK52,'사용자가 입력할 시트'!$AF$2:$AG$60,2,FALSE),BK52)</f>
        <v>CC저항력</v>
      </c>
      <c r="BN52" s="72" t="str">
        <f t="array" ref="BN52">IFERROR(TRIM(_xlfn.REGEXEXTRACT(BL52,"(\d+[%]?$|[A-Z]+$)")),"")</f>
        <v>136</v>
      </c>
      <c r="BO52" s="67" t="s">
        <v>85</v>
      </c>
      <c r="BP52" s="70" t="str">
        <f t="shared" si="20"/>
        <v>CC抵抗力</v>
      </c>
      <c r="BQ52" s="70" t="str">
        <f t="array" ref="BQ52">IFERROR(TRIM(_xlfn.REGEXEXTRACT(BO52,"(\d.+[%]?$|[0-9]|[A-Z]+$)")),"")</f>
        <v>136</v>
      </c>
      <c r="BR52" s="71" t="str">
        <f>IFERROR(VLOOKUP(BP52,'사용자가 입력할 시트'!$AF$2:$AG$60,2,FALSE),BP52)</f>
        <v>CC저항력</v>
      </c>
      <c r="BS52" s="72" t="str">
        <f t="array" ref="BS52">IFERROR(TRIM(_xlfn.REGEXEXTRACT(BQ52,"(\d+[%]?$|[A-Z]+$)")),"")</f>
        <v>136</v>
      </c>
      <c r="BT52" s="67" t="s">
        <v>85</v>
      </c>
      <c r="BU52" s="70" t="str">
        <f t="shared" si="21"/>
        <v>CC抵抗力</v>
      </c>
      <c r="BV52" s="70" t="str">
        <f t="array" ref="BV52">IFERROR(TRIM(_xlfn.REGEXEXTRACT(BT52,"(\d.+[%]?$|[0-9]|[A-Z]+$)")),"")</f>
        <v>136</v>
      </c>
      <c r="BW52" s="71" t="str">
        <f>IFERROR(VLOOKUP(BU52,'사용자가 입력할 시트'!$AF$2:$AG$60,2,FALSE),BU52)</f>
        <v>CC저항력</v>
      </c>
      <c r="BX52" s="72" t="str">
        <f t="array" ref="BX52">IFERROR(TRIM(_xlfn.REGEXEXTRACT(BV52,"(\d+[%]?$|[A-Z]+$)")),"")</f>
        <v>136</v>
      </c>
      <c r="BY52" s="67" t="s">
        <v>85</v>
      </c>
      <c r="BZ52" s="70" t="str">
        <f t="shared" si="22"/>
        <v>CC抵抗力</v>
      </c>
      <c r="CA52" s="70" t="str">
        <f t="array" ref="CA52">IFERROR(TRIM(_xlfn.REGEXEXTRACT(BY52,"(\d.+[%]?$|[0-9]|[A-Z]+$)")),"")</f>
        <v>136</v>
      </c>
      <c r="CB52" s="71" t="str">
        <f>IFERROR(VLOOKUP(BZ52,'사용자가 입력할 시트'!$AF$2:$AG$60,2,FALSE),BZ52)</f>
        <v>CC저항력</v>
      </c>
      <c r="CC52" s="72" t="str">
        <f t="array" ref="CC52">IFERROR(TRIM(_xlfn.REGEXEXTRACT(CA52,"(\d+[%]?$|[A-Z]+$)")),"")</f>
        <v>136</v>
      </c>
    </row>
    <row r="53" spans="2:81">
      <c r="C53" s="2" t="s">
        <v>174</v>
      </c>
      <c r="W53" s="2" t="str">
        <f t="shared" ca="1" si="10"/>
        <v>S</v>
      </c>
      <c r="X53" s="2" t="str">
        <f t="shared" ca="1" si="11"/>
        <v>D</v>
      </c>
      <c r="Y53" s="2" t="str">
        <f t="shared" ca="1" si="12"/>
        <v>B</v>
      </c>
      <c r="Z53" s="42" t="str">
        <f t="shared" ref="Z53" ca="1" si="67">IF(W53="","",$W$4&amp;" :"&amp;W53&amp;IF(W53=W54,"","("&amp;W54&amp;")"))</f>
        <v>시가 :S()</v>
      </c>
      <c r="AC53" s="4" t="s">
        <v>193</v>
      </c>
      <c r="AD53" s="4" t="str">
        <f>_xlfn.LET(_xlpm.titleCell, MATCH($AC$53, BR:BR, 0),_xlpm.nextTitleCell, IFERROR(_xlfn.AGGREGATE(15, 6, ROW($BR$2:$BR$100)/(LEFT($BR$2:$BR$100,1)="≪")/(ROW($BR$2:$BR$100)&gt;_xlpm.titleCell), 1), ROWS(BR:BR)+1),_xlpm.startRow, _xlpm.titleCell + 1,_xlpm.endRow, _xlpm.nextTitleCell - 1,_xlpm.colStart, COLUMN($BR$2),_xlpm.colEnd, _xlpm.colStart + 1,ADDRESS(_xlpm.startRow, _xlpm.colStart) &amp; ":" &amp; ADDRESS(_xlpm.endRow, _xlpm.colEnd))</f>
        <v>$BR$61:$BS$63</v>
      </c>
      <c r="AF53" s="67" t="s">
        <v>127</v>
      </c>
      <c r="AG53" s="70" t="str">
        <f t="shared" si="13"/>
        <v>振動特効</v>
      </c>
      <c r="AH53" s="70" t="str">
        <f t="array" ref="AH53">IFERROR(TRIM(_xlfn.REGEXEXTRACT(AF53,"(\d.+[%]?$|[0-9]|[A-Z]+$)")),"")</f>
        <v>10%</v>
      </c>
      <c r="AI53" s="71" t="str">
        <f>IFERROR(VLOOKUP(AG53,'사용자가 입력할 시트'!$AF$2:$AG$60,2,FALSE),AG53)</f>
        <v>진동특효</v>
      </c>
      <c r="AJ53" s="72" t="str">
        <f t="array" ref="AJ53">IFERROR(TRIM(_xlfn.REGEXEXTRACT(AH53,"(\d+[%]?$|[A-Z]+$)")),"")</f>
        <v>10%</v>
      </c>
      <c r="AK53" s="67" t="s">
        <v>127</v>
      </c>
      <c r="AL53" s="70" t="str">
        <f t="shared" si="14"/>
        <v>振動特効</v>
      </c>
      <c r="AM53" s="70" t="str">
        <f t="array" ref="AM53">IFERROR(TRIM(_xlfn.REGEXEXTRACT(AK53,"(\d.+[%]?$|[0-9]|[A-Z]+$)")),"")</f>
        <v>10%</v>
      </c>
      <c r="AN53" s="71" t="str">
        <f>IFERROR(VLOOKUP(AL53,'사용자가 입력할 시트'!$AF$2:$AG$60,2,FALSE),AL53)</f>
        <v>진동특효</v>
      </c>
      <c r="AO53" s="72" t="str">
        <f t="array" ref="AO53">IFERROR(TRIM(_xlfn.REGEXEXTRACT(AM53,"(\d+[%]?$|[A-Z]+$)")),"")</f>
        <v>10%</v>
      </c>
      <c r="AP53" s="67" t="s">
        <v>127</v>
      </c>
      <c r="AQ53" s="70" t="str">
        <f t="shared" si="15"/>
        <v>振動特効</v>
      </c>
      <c r="AR53" s="70" t="str">
        <f t="array" ref="AR53">IFERROR(TRIM(_xlfn.REGEXEXTRACT(AP53,"(\d.+[%]?$|[0-9]|[A-Z]+$)")),"")</f>
        <v>10%</v>
      </c>
      <c r="AS53" s="71" t="str">
        <f>IFERROR(VLOOKUP(AQ53,'사용자가 입력할 시트'!$AF$2:$AG$60,2,FALSE),AQ53)</f>
        <v>진동특효</v>
      </c>
      <c r="AT53" s="72" t="str">
        <f t="array" ref="AT53">IFERROR(TRIM(_xlfn.REGEXEXTRACT(AR53,"(\d+[%]?$|[A-Z]+$)")),"")</f>
        <v>10%</v>
      </c>
      <c r="AU53" s="67" t="s">
        <v>123</v>
      </c>
      <c r="AV53" s="70" t="str">
        <f t="shared" si="16"/>
        <v>最大コスト増加</v>
      </c>
      <c r="AW53" s="70" t="str">
        <f t="array" ref="AW53">IFERROR(TRIM(_xlfn.REGEXEXTRACT(AU53,"(\d.+[%]?$|[0-9]|[A-Z]+$)")),"")</f>
        <v>0</v>
      </c>
      <c r="AX53" s="71" t="str">
        <f>IFERROR(VLOOKUP(AV53,'사용자가 입력할 시트'!$AF$2:$AG$60,2,FALSE),AV53)</f>
        <v>최대 코스트 증가</v>
      </c>
      <c r="AY53" s="72" t="str">
        <f t="array" ref="AY53">IFERROR(TRIM(_xlfn.REGEXEXTRACT(AW53,"(\d+[%]?$|[A-Z]+$)")),"")</f>
        <v>0</v>
      </c>
      <c r="AZ53" s="67" t="s">
        <v>123</v>
      </c>
      <c r="BA53" s="70" t="str">
        <f t="shared" si="17"/>
        <v>最大コスト増加</v>
      </c>
      <c r="BB53" s="70" t="str">
        <f t="array" ref="BB53">IFERROR(TRIM(_xlfn.REGEXEXTRACT(AZ53,"(\d.+[%]?$|[0-9]|[A-Z]+$)")),"")</f>
        <v>0</v>
      </c>
      <c r="BC53" s="71" t="str">
        <f>IFERROR(VLOOKUP(BA53,'사용자가 입력할 시트'!$AF$2:$AG$60,2,FALSE),BA53)</f>
        <v>최대 코스트 증가</v>
      </c>
      <c r="BD53" s="72" t="str">
        <f t="array" ref="BD53">IFERROR(TRIM(_xlfn.REGEXEXTRACT(BB53,"(\d+[%]?$|[A-Z]+$)")),"")</f>
        <v>0</v>
      </c>
      <c r="BE53" s="67" t="s">
        <v>123</v>
      </c>
      <c r="BF53" s="70" t="str">
        <f t="shared" si="18"/>
        <v>最大コスト増加</v>
      </c>
      <c r="BG53" s="70" t="str">
        <f t="array" ref="BG53">IFERROR(TRIM(_xlfn.REGEXEXTRACT(BE53,"(\d.+[%]?$|[0-9]|[A-Z]+$)")),"")</f>
        <v>0</v>
      </c>
      <c r="BH53" s="71" t="str">
        <f>IFERROR(VLOOKUP(BF53,'사용자가 입력할 시트'!$AF$2:$AG$60,2,FALSE),BF53)</f>
        <v>최대 코스트 증가</v>
      </c>
      <c r="BI53" s="72" t="str">
        <f t="array" ref="BI53">IFERROR(TRIM(_xlfn.REGEXEXTRACT(BG53,"(\d+[%]?$|[A-Z]+$)")),"")</f>
        <v>0</v>
      </c>
      <c r="BJ53" s="67" t="s">
        <v>123</v>
      </c>
      <c r="BK53" s="70" t="str">
        <f t="shared" si="19"/>
        <v>最大コスト増加</v>
      </c>
      <c r="BL53" s="70" t="str">
        <f t="array" ref="BL53">IFERROR(TRIM(_xlfn.REGEXEXTRACT(BJ53,"(\d.+[%]?$|[0-9]|[A-Z]+$)")),"")</f>
        <v>0</v>
      </c>
      <c r="BM53" s="71" t="str">
        <f>IFERROR(VLOOKUP(BK53,'사용자가 입력할 시트'!$AF$2:$AG$60,2,FALSE),BK53)</f>
        <v>최대 코스트 증가</v>
      </c>
      <c r="BN53" s="72" t="str">
        <f t="array" ref="BN53">IFERROR(TRIM(_xlfn.REGEXEXTRACT(BL53,"(\d+[%]?$|[A-Z]+$)")),"")</f>
        <v>0</v>
      </c>
      <c r="BO53" s="67" t="s">
        <v>123</v>
      </c>
      <c r="BP53" s="70" t="str">
        <f t="shared" si="20"/>
        <v>最大コスト増加</v>
      </c>
      <c r="BQ53" s="70" t="str">
        <f t="array" ref="BQ53">IFERROR(TRIM(_xlfn.REGEXEXTRACT(BO53,"(\d.+[%]?$|[0-9]|[A-Z]+$)")),"")</f>
        <v>0</v>
      </c>
      <c r="BR53" s="71" t="str">
        <f>IFERROR(VLOOKUP(BP53,'사용자가 입력할 시트'!$AF$2:$AG$60,2,FALSE),BP53)</f>
        <v>최대 코스트 증가</v>
      </c>
      <c r="BS53" s="72" t="str">
        <f t="array" ref="BS53">IFERROR(TRIM(_xlfn.REGEXEXTRACT(BQ53,"(\d+[%]?$|[A-Z]+$)")),"")</f>
        <v>0</v>
      </c>
      <c r="BT53" s="67" t="s">
        <v>123</v>
      </c>
      <c r="BU53" s="70" t="str">
        <f t="shared" si="21"/>
        <v>最大コスト増加</v>
      </c>
      <c r="BV53" s="70" t="str">
        <f t="array" ref="BV53">IFERROR(TRIM(_xlfn.REGEXEXTRACT(BT53,"(\d.+[%]?$|[0-9]|[A-Z]+$)")),"")</f>
        <v>0</v>
      </c>
      <c r="BW53" s="71" t="str">
        <f>IFERROR(VLOOKUP(BU53,'사용자가 입력할 시트'!$AF$2:$AG$60,2,FALSE),BU53)</f>
        <v>최대 코스트 증가</v>
      </c>
      <c r="BX53" s="72" t="str">
        <f t="array" ref="BX53">IFERROR(TRIM(_xlfn.REGEXEXTRACT(BV53,"(\d+[%]?$|[A-Z]+$)")),"")</f>
        <v>0</v>
      </c>
      <c r="BY53" s="67" t="s">
        <v>123</v>
      </c>
      <c r="BZ53" s="70" t="str">
        <f t="shared" si="22"/>
        <v>最大コスト増加</v>
      </c>
      <c r="CA53" s="70" t="str">
        <f t="array" ref="CA53">IFERROR(TRIM(_xlfn.REGEXEXTRACT(BY53,"(\d.+[%]?$|[0-9]|[A-Z]+$)")),"")</f>
        <v>0</v>
      </c>
      <c r="CB53" s="71" t="str">
        <f>IFERROR(VLOOKUP(BZ53,'사용자가 입력할 시트'!$AF$2:$AG$60,2,FALSE),BZ53)</f>
        <v>최대 코스트 증가</v>
      </c>
      <c r="CC53" s="72" t="str">
        <f t="array" ref="CC53">IFERROR(TRIM(_xlfn.REGEXEXTRACT(CA53,"(\d+[%]?$|[A-Z]+$)")),"")</f>
        <v>0</v>
      </c>
    </row>
    <row r="54" spans="2:81" s="4" customFormat="1" ht="16.5" customHeight="1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 t="str">
        <f t="shared" ca="1" si="10"/>
        <v/>
      </c>
      <c r="X54" s="2" t="str">
        <f t="shared" ca="1" si="11"/>
        <v/>
      </c>
      <c r="Y54" s="2" t="str">
        <f t="shared" ca="1" si="12"/>
        <v/>
      </c>
      <c r="Z54" s="42" t="str">
        <f t="shared" ref="Z54" ca="1" si="68">IF(X53="","",$X$4&amp;" :"&amp;X53&amp;IF(X53=X54,"","("&amp;X54&amp;")"))</f>
        <v>실내 :D()</v>
      </c>
      <c r="AB54" s="4" t="s">
        <v>198</v>
      </c>
      <c r="AC54" s="4" t="s">
        <v>183</v>
      </c>
      <c r="AD54" s="4" t="str">
        <f>_xlfn.LET(_xlpm.titleCell, MATCH($AC$54, BW:BW, 0),_xlpm.nextTitleCell, IFERROR(_xlfn.AGGREGATE(15, 6, ROW($BW$2:$BW$100)/(LEFT($BW$2:$BW$100,1)="≪")/(ROW($BW$2:$BW$100)&gt;_xlpm.titleCell), 1), ROWS(BW:BW)+1),_xlpm.startRow, _xlpm.titleCell + 1,_xlpm.endRow, _xlpm.nextTitleCell - 1,_xlpm.colStart, COLUMN($BW$2),_xlpm.colEnd, _xlpm.colStart + 1,ADDRESS(_xlpm.startRow, _xlpm.colStart) &amp; ":" &amp; ADDRESS(_xlpm.endRow, _xlpm.colEnd))</f>
        <v>$BW$6:$BX$25</v>
      </c>
      <c r="AE54" s="1"/>
      <c r="AF54" s="67" t="s">
        <v>96</v>
      </c>
      <c r="AG54" s="70" t="str">
        <f t="shared" si="13"/>
        <v>HP</v>
      </c>
      <c r="AH54" s="70" t="str">
        <f t="array" ref="AH54">IFERROR(TRIM(_xlfn.REGEXEXTRACT(AF54,"(\d.+[%]?$|[0-9]|[A-Z]+$)")),"")</f>
        <v>3412</v>
      </c>
      <c r="AI54" s="71" t="str">
        <f>IFERROR(VLOOKUP(AG54,'사용자가 입력할 시트'!$AF$2:$AG$60,2,FALSE),AG54)</f>
        <v>체력</v>
      </c>
      <c r="AJ54" s="72" t="str">
        <f t="array" ref="AJ54">IFERROR(TRIM(_xlfn.REGEXEXTRACT(AH54,"(\d+[%]?$|[A-Z]+$)")),"")</f>
        <v>3412</v>
      </c>
      <c r="AK54" s="67" t="s">
        <v>96</v>
      </c>
      <c r="AL54" s="70" t="str">
        <f t="shared" si="14"/>
        <v>HP</v>
      </c>
      <c r="AM54" s="70" t="str">
        <f t="array" ref="AM54">IFERROR(TRIM(_xlfn.REGEXEXTRACT(AK54,"(\d.+[%]?$|[0-9]|[A-Z]+$)")),"")</f>
        <v>3412</v>
      </c>
      <c r="AN54" s="71" t="str">
        <f>IFERROR(VLOOKUP(AL54,'사용자가 입력할 시트'!$AF$2:$AG$60,2,FALSE),AL54)</f>
        <v>체력</v>
      </c>
      <c r="AO54" s="72" t="str">
        <f t="array" ref="AO54">IFERROR(TRIM(_xlfn.REGEXEXTRACT(AM54,"(\d+[%]?$|[A-Z]+$)")),"")</f>
        <v>3412</v>
      </c>
      <c r="AP54" s="67" t="s">
        <v>96</v>
      </c>
      <c r="AQ54" s="70" t="str">
        <f t="shared" si="15"/>
        <v>HP</v>
      </c>
      <c r="AR54" s="70" t="str">
        <f t="array" ref="AR54">IFERROR(TRIM(_xlfn.REGEXEXTRACT(AP54,"(\d.+[%]?$|[0-9]|[A-Z]+$)")),"")</f>
        <v>3412</v>
      </c>
      <c r="AS54" s="71" t="str">
        <f>IFERROR(VLOOKUP(AQ54,'사용자가 입력할 시트'!$AF$2:$AG$60,2,FALSE),AQ54)</f>
        <v>체력</v>
      </c>
      <c r="AT54" s="72" t="str">
        <f t="array" ref="AT54">IFERROR(TRIM(_xlfn.REGEXEXTRACT(AR54,"(\d+[%]?$|[A-Z]+$)")),"")</f>
        <v>3412</v>
      </c>
      <c r="AU54" s="67" t="s">
        <v>134</v>
      </c>
      <c r="AV54" s="70" t="str">
        <f t="shared" si="16"/>
        <v>屋外戦闘力</v>
      </c>
      <c r="AW54" s="70" t="str">
        <f t="array" ref="AW54">IFERROR(TRIM(_xlfn.REGEXEXTRACT(AU54,"(\d.+[%]?$|[0-9]|[A-Z]+$)")),"")</f>
        <v>B</v>
      </c>
      <c r="AX54" s="71" t="str">
        <f>IFERROR(VLOOKUP(AV54,'사용자가 입력할 시트'!$AF$2:$AG$60,2,FALSE),AV54)</f>
        <v>야외</v>
      </c>
      <c r="AY54" s="72" t="str">
        <f t="array" ref="AY54">IFERROR(TRIM(_xlfn.REGEXEXTRACT(AW54,"(\d+[%]?$|[A-Z]+$)")),"")</f>
        <v>B</v>
      </c>
      <c r="AZ54" s="67" t="s">
        <v>134</v>
      </c>
      <c r="BA54" s="70" t="str">
        <f t="shared" si="17"/>
        <v>屋外戦闘力</v>
      </c>
      <c r="BB54" s="70" t="str">
        <f t="array" ref="BB54">IFERROR(TRIM(_xlfn.REGEXEXTRACT(AZ54,"(\d.+[%]?$|[0-9]|[A-Z]+$)")),"")</f>
        <v>B</v>
      </c>
      <c r="BC54" s="71" t="str">
        <f>IFERROR(VLOOKUP(BA54,'사용자가 입력할 시트'!$AF$2:$AG$60,2,FALSE),BA54)</f>
        <v>야외</v>
      </c>
      <c r="BD54" s="72" t="str">
        <f t="array" ref="BD54">IFERROR(TRIM(_xlfn.REGEXEXTRACT(BB54,"(\d+[%]?$|[A-Z]+$)")),"")</f>
        <v>B</v>
      </c>
      <c r="BE54" s="67" t="s">
        <v>134</v>
      </c>
      <c r="BF54" s="70" t="str">
        <f t="shared" si="18"/>
        <v>屋外戦闘力</v>
      </c>
      <c r="BG54" s="70" t="str">
        <f t="array" ref="BG54">IFERROR(TRIM(_xlfn.REGEXEXTRACT(BE54,"(\d.+[%]?$|[0-9]|[A-Z]+$)")),"")</f>
        <v>B</v>
      </c>
      <c r="BH54" s="71" t="str">
        <f>IFERROR(VLOOKUP(BF54,'사용자가 입력할 시트'!$AF$2:$AG$60,2,FALSE),BF54)</f>
        <v>야외</v>
      </c>
      <c r="BI54" s="72" t="str">
        <f t="array" ref="BI54">IFERROR(TRIM(_xlfn.REGEXEXTRACT(BG54,"(\d+[%]?$|[A-Z]+$)")),"")</f>
        <v>B</v>
      </c>
      <c r="BJ54" s="67" t="s">
        <v>134</v>
      </c>
      <c r="BK54" s="70" t="str">
        <f t="shared" si="19"/>
        <v>屋外戦闘力</v>
      </c>
      <c r="BL54" s="70" t="str">
        <f t="array" ref="BL54">IFERROR(TRIM(_xlfn.REGEXEXTRACT(BJ54,"(\d.+[%]?$|[0-9]|[A-Z]+$)")),"")</f>
        <v>B</v>
      </c>
      <c r="BM54" s="71" t="str">
        <f>IFERROR(VLOOKUP(BK54,'사용자가 입력할 시트'!$AF$2:$AG$60,2,FALSE),BK54)</f>
        <v>야외</v>
      </c>
      <c r="BN54" s="72" t="str">
        <f t="array" ref="BN54">IFERROR(TRIM(_xlfn.REGEXEXTRACT(BL54,"(\d+[%]?$|[A-Z]+$)")),"")</f>
        <v>B</v>
      </c>
      <c r="BO54" s="67" t="s">
        <v>134</v>
      </c>
      <c r="BP54" s="70" t="str">
        <f t="shared" si="20"/>
        <v>屋外戦闘力</v>
      </c>
      <c r="BQ54" s="70" t="str">
        <f t="array" ref="BQ54">IFERROR(TRIM(_xlfn.REGEXEXTRACT(BO54,"(\d.+[%]?$|[0-9]|[A-Z]+$)")),"")</f>
        <v>B</v>
      </c>
      <c r="BR54" s="71" t="str">
        <f>IFERROR(VLOOKUP(BP54,'사용자가 입력할 시트'!$AF$2:$AG$60,2,FALSE),BP54)</f>
        <v>야외</v>
      </c>
      <c r="BS54" s="72" t="str">
        <f t="array" ref="BS54">IFERROR(TRIM(_xlfn.REGEXEXTRACT(BQ54,"(\d+[%]?$|[A-Z]+$)")),"")</f>
        <v>B</v>
      </c>
      <c r="BT54" s="67" t="s">
        <v>134</v>
      </c>
      <c r="BU54" s="70" t="str">
        <f t="shared" si="21"/>
        <v>屋外戦闘力</v>
      </c>
      <c r="BV54" s="70" t="str">
        <f t="array" ref="BV54">IFERROR(TRIM(_xlfn.REGEXEXTRACT(BT54,"(\d.+[%]?$|[0-9]|[A-Z]+$)")),"")</f>
        <v>B</v>
      </c>
      <c r="BW54" s="71" t="str">
        <f>IFERROR(VLOOKUP(BU54,'사용자가 입력할 시트'!$AF$2:$AG$60,2,FALSE),BU54)</f>
        <v>야외</v>
      </c>
      <c r="BX54" s="72" t="str">
        <f t="array" ref="BX54">IFERROR(TRIM(_xlfn.REGEXEXTRACT(BV54,"(\d+[%]?$|[A-Z]+$)")),"")</f>
        <v>B</v>
      </c>
      <c r="BY54" s="67" t="s">
        <v>134</v>
      </c>
      <c r="BZ54" s="70" t="str">
        <f t="shared" si="22"/>
        <v>屋外戦闘力</v>
      </c>
      <c r="CA54" s="70" t="str">
        <f t="array" ref="CA54">IFERROR(TRIM(_xlfn.REGEXEXTRACT(BY54,"(\d.+[%]?$|[0-9]|[A-Z]+$)")),"")</f>
        <v>B</v>
      </c>
      <c r="CB54" s="71" t="str">
        <f>IFERROR(VLOOKUP(BZ54,'사용자가 입력할 시트'!$AF$2:$AG$60,2,FALSE),BZ54)</f>
        <v>야외</v>
      </c>
      <c r="CC54" s="72" t="str">
        <f t="array" ref="CC54">IFERROR(TRIM(_xlfn.REGEXEXTRACT(CA54,"(\d+[%]?$|[A-Z]+$)")),"")</f>
        <v>B</v>
      </c>
    </row>
    <row r="55" spans="2:81">
      <c r="W55" s="2" t="str">
        <f t="shared" ca="1" si="10"/>
        <v/>
      </c>
      <c r="X55" s="2" t="str">
        <f t="shared" ca="1" si="11"/>
        <v/>
      </c>
      <c r="Y55" s="2" t="str">
        <f t="shared" ca="1" si="12"/>
        <v/>
      </c>
      <c r="Z55" s="42" t="str">
        <f t="shared" ref="Z55" ca="1" si="69">IF(Y53="","",$Y$4&amp;" :"&amp;Y53&amp;IF(Y53=Y54,"","("&amp;Y54&amp;")"))</f>
        <v>야외 :B()</v>
      </c>
      <c r="AC55" s="4" t="s">
        <v>185</v>
      </c>
      <c r="AD55" s="4" t="str">
        <f>_xlfn.LET(_xlpm.titleCell, MATCH($AC$55, BW:BW, 0),_xlpm.nextTitleCell, IFERROR(_xlfn.AGGREGATE(15, 6, ROW($BW$2:$BW$100)/(LEFT($BW$2:$BW$100,1)="≪")/(ROW($BW$2:$BW$100)&gt;_xlpm.titleCell), 1), ROWS(BW:BW)+1),_xlpm.startRow, _xlpm.titleCell + 1,_xlpm.endRow, _xlpm.nextTitleCell - 1,_xlpm.colStart, COLUMN($BW$2),_xlpm.colEnd, _xlpm.colStart + 1,ADDRESS(_xlpm.startRow, _xlpm.colStart) &amp; ":" &amp; ADDRESS(_xlpm.endRow, _xlpm.colEnd))</f>
        <v>$BW$27:$BX$29</v>
      </c>
      <c r="AF55" s="67"/>
      <c r="AG55" s="70" t="str">
        <f t="shared" si="13"/>
        <v/>
      </c>
      <c r="AH55" s="70" t="str">
        <f t="array" ref="AH55">IFERROR(TRIM(_xlfn.REGEXEXTRACT(AF55,"(\d.+[%]?$|[0-9]|[A-Z]+$)")),"")</f>
        <v/>
      </c>
      <c r="AI55" s="71" t="str">
        <f>IFERROR(VLOOKUP(AG55,'사용자가 입력할 시트'!$AF$2:$AG$60,2,FALSE),AG55)</f>
        <v/>
      </c>
      <c r="AJ55" s="72" t="str">
        <f t="array" ref="AJ55">IFERROR(TRIM(_xlfn.REGEXEXTRACT(AH55,"(\d+[%]?$|[A-Z]+$)")),"")</f>
        <v/>
      </c>
      <c r="AK55" s="67"/>
      <c r="AL55" s="70" t="str">
        <f t="shared" si="14"/>
        <v/>
      </c>
      <c r="AM55" s="70" t="str">
        <f t="array" ref="AM55">IFERROR(TRIM(_xlfn.REGEXEXTRACT(AK55,"(\d.+[%]?$|[0-9]|[A-Z]+$)")),"")</f>
        <v/>
      </c>
      <c r="AN55" s="71" t="str">
        <f>IFERROR(VLOOKUP(AL55,'사용자가 입력할 시트'!$AF$2:$AG$60,2,FALSE),AL55)</f>
        <v/>
      </c>
      <c r="AO55" s="72" t="str">
        <f t="array" ref="AO55">IFERROR(TRIM(_xlfn.REGEXEXTRACT(AM55,"(\d+[%]?$|[A-Z]+$)")),"")</f>
        <v/>
      </c>
      <c r="AP55" s="67"/>
      <c r="AQ55" s="70" t="str">
        <f t="shared" si="15"/>
        <v/>
      </c>
      <c r="AR55" s="70" t="str">
        <f t="array" ref="AR55">IFERROR(TRIM(_xlfn.REGEXEXTRACT(AP55,"(\d.+[%]?$|[0-9]|[A-Z]+$)")),"")</f>
        <v/>
      </c>
      <c r="AS55" s="71" t="str">
        <f>IFERROR(VLOOKUP(AQ55,'사용자가 입력할 시트'!$AF$2:$AG$60,2,FALSE),AQ55)</f>
        <v/>
      </c>
      <c r="AT55" s="72" t="str">
        <f t="array" ref="AT55">IFERROR(TRIM(_xlfn.REGEXEXTRACT(AR55,"(\d+[%]?$|[A-Z]+$)")),"")</f>
        <v/>
      </c>
      <c r="AU55" s="67"/>
      <c r="AV55" s="70" t="str">
        <f t="shared" si="16"/>
        <v/>
      </c>
      <c r="AW55" s="70" t="str">
        <f t="array" ref="AW55">IFERROR(TRIM(_xlfn.REGEXEXTRACT(AU55,"(\d.+[%]?$|[0-9]|[A-Z]+$)")),"")</f>
        <v/>
      </c>
      <c r="AX55" s="71" t="str">
        <f>IFERROR(VLOOKUP(AV55,'사용자가 입력할 시트'!$AF$2:$AG$60,2,FALSE),AV55)</f>
        <v/>
      </c>
      <c r="AY55" s="72" t="str">
        <f t="array" ref="AY55">IFERROR(TRIM(_xlfn.REGEXEXTRACT(AW55,"(\d+[%]?$|[A-Z]+$)")),"")</f>
        <v/>
      </c>
      <c r="AZ55" s="67"/>
      <c r="BA55" s="70" t="str">
        <f t="shared" si="17"/>
        <v/>
      </c>
      <c r="BB55" s="70" t="str">
        <f t="array" ref="BB55">IFERROR(TRIM(_xlfn.REGEXEXTRACT(AZ55,"(\d.+[%]?$|[0-9]|[A-Z]+$)")),"")</f>
        <v/>
      </c>
      <c r="BC55" s="71" t="str">
        <f>IFERROR(VLOOKUP(BA55,'사용자가 입력할 시트'!$AF$2:$AG$60,2,FALSE),BA55)</f>
        <v/>
      </c>
      <c r="BD55" s="72" t="str">
        <f t="array" ref="BD55">IFERROR(TRIM(_xlfn.REGEXEXTRACT(BB55,"(\d+[%]?$|[A-Z]+$)")),"")</f>
        <v/>
      </c>
      <c r="BE55" s="67"/>
      <c r="BF55" s="70" t="str">
        <f t="shared" si="18"/>
        <v/>
      </c>
      <c r="BG55" s="70" t="str">
        <f t="array" ref="BG55">IFERROR(TRIM(_xlfn.REGEXEXTRACT(BE55,"(\d.+[%]?$|[0-9]|[A-Z]+$)")),"")</f>
        <v/>
      </c>
      <c r="BH55" s="71" t="str">
        <f>IFERROR(VLOOKUP(BF55,'사용자가 입력할 시트'!$AF$2:$AG$60,2,FALSE),BF55)</f>
        <v/>
      </c>
      <c r="BI55" s="72" t="str">
        <f t="array" ref="BI55">IFERROR(TRIM(_xlfn.REGEXEXTRACT(BG55,"(\d+[%]?$|[A-Z]+$)")),"")</f>
        <v/>
      </c>
      <c r="BJ55" s="67"/>
      <c r="BK55" s="70" t="str">
        <f t="shared" si="19"/>
        <v/>
      </c>
      <c r="BL55" s="70" t="str">
        <f t="array" ref="BL55">IFERROR(TRIM(_xlfn.REGEXEXTRACT(BJ55,"(\d.+[%]?$|[0-9]|[A-Z]+$)")),"")</f>
        <v/>
      </c>
      <c r="BM55" s="71" t="str">
        <f>IFERROR(VLOOKUP(BK55,'사용자가 입력할 시트'!$AF$2:$AG$60,2,FALSE),BK55)</f>
        <v/>
      </c>
      <c r="BN55" s="72" t="str">
        <f t="array" ref="BN55">IFERROR(TRIM(_xlfn.REGEXEXTRACT(BL55,"(\d+[%]?$|[A-Z]+$)")),"")</f>
        <v/>
      </c>
      <c r="BO55" s="67"/>
      <c r="BP55" s="70" t="str">
        <f t="shared" si="20"/>
        <v/>
      </c>
      <c r="BQ55" s="70" t="str">
        <f t="array" ref="BQ55">IFERROR(TRIM(_xlfn.REGEXEXTRACT(BO55,"(\d.+[%]?$|[0-9]|[A-Z]+$)")),"")</f>
        <v/>
      </c>
      <c r="BR55" s="71" t="str">
        <f>IFERROR(VLOOKUP(BP55,'사용자가 입력할 시트'!$AF$2:$AG$60,2,FALSE),BP55)</f>
        <v/>
      </c>
      <c r="BS55" s="72" t="str">
        <f t="array" ref="BS55">IFERROR(TRIM(_xlfn.REGEXEXTRACT(BQ55,"(\d+[%]?$|[A-Z]+$)")),"")</f>
        <v/>
      </c>
      <c r="BT55" s="67"/>
      <c r="BU55" s="70" t="str">
        <f t="shared" si="21"/>
        <v/>
      </c>
      <c r="BV55" s="70" t="str">
        <f t="array" ref="BV55">IFERROR(TRIM(_xlfn.REGEXEXTRACT(BT55,"(\d.+[%]?$|[0-9]|[A-Z]+$)")),"")</f>
        <v/>
      </c>
      <c r="BW55" s="71" t="str">
        <f>IFERROR(VLOOKUP(BU55,'사용자가 입력할 시트'!$AF$2:$AG$60,2,FALSE),BU55)</f>
        <v/>
      </c>
      <c r="BX55" s="72" t="str">
        <f t="array" ref="BX55">IFERROR(TRIM(_xlfn.REGEXEXTRACT(BV55,"(\d+[%]?$|[A-Z]+$)")),"")</f>
        <v/>
      </c>
      <c r="BY55" s="67"/>
      <c r="BZ55" s="70" t="str">
        <f t="shared" si="22"/>
        <v/>
      </c>
      <c r="CA55" s="70" t="str">
        <f t="array" ref="CA55">IFERROR(TRIM(_xlfn.REGEXEXTRACT(BY55,"(\d.+[%]?$|[0-9]|[A-Z]+$)")),"")</f>
        <v/>
      </c>
      <c r="CB55" s="71" t="str">
        <f>IFERROR(VLOOKUP(BZ55,'사용자가 입력할 시트'!$AF$2:$AG$60,2,FALSE),BZ55)</f>
        <v/>
      </c>
      <c r="CC55" s="72" t="str">
        <f t="array" ref="CC55">IFERROR(TRIM(_xlfn.REGEXEXTRACT(CA55,"(\d+[%]?$|[A-Z]+$)")),"")</f>
        <v/>
      </c>
    </row>
    <row r="56" spans="2:81" s="4" customFormat="1" ht="24" customHeight="1">
      <c r="B56" s="2" t="s">
        <v>170</v>
      </c>
      <c r="C56" s="2" t="s">
        <v>24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 t="str">
        <f t="shared" ca="1" si="10"/>
        <v>SS</v>
      </c>
      <c r="X56" s="2" t="str">
        <f t="shared" ca="1" si="11"/>
        <v>D</v>
      </c>
      <c r="Y56" s="2" t="str">
        <f t="shared" ca="1" si="12"/>
        <v>B</v>
      </c>
      <c r="Z56" s="42" t="str">
        <f t="shared" ref="Z56" ca="1" si="70">IF(W56="","",$W$4&amp;" :"&amp;W56&amp;IF(W56=W57,"","("&amp;W57&amp;")"))</f>
        <v>시가 :SS()</v>
      </c>
      <c r="AC56" s="4" t="s">
        <v>186</v>
      </c>
      <c r="AD56" s="4" t="str">
        <f>_xlfn.LET(_xlpm.titleCell, MATCH($AC$56, BW:BW, 0),_xlpm.nextTitleCell, IFERROR(_xlfn.AGGREGATE(15, 6, ROW($BW$2:$BW$100)/(LEFT($BW$2:$BW$100,1)="≪")/(ROW($BW$2:$BW$100)&gt;_xlpm.titleCell), 1), ROWS(BW:BW)+1),_xlpm.startRow, _xlpm.titleCell + 1,_xlpm.endRow, _xlpm.nextTitleCell - 1,_xlpm.colStart, COLUMN($BW$2),_xlpm.colEnd, _xlpm.colStart + 1,ADDRESS(_xlpm.startRow, _xlpm.colStart) &amp; ":" &amp; ADDRESS(_xlpm.endRow, _xlpm.colEnd))</f>
        <v>$BW$31:$BX$34</v>
      </c>
      <c r="AE56" s="1"/>
      <c r="AF56" s="67" t="s">
        <v>179</v>
      </c>
      <c r="AG56" s="70" t="str">
        <f t="shared" si="13"/>
        <v>≪모모톡_イズナ (水着)≫</v>
      </c>
      <c r="AH56" s="70" t="str">
        <f t="array" ref="AH56">IFERROR(TRIM(_xlfn.REGEXEXTRACT(AF56,"(\d.+[%]?$|[0-9]|[A-Z]+$)")),"")</f>
        <v/>
      </c>
      <c r="AI56" s="71" t="str">
        <f>IFERROR(VLOOKUP(AG56,'사용자가 입력할 시트'!$AF$2:$AG$60,2,FALSE),AG56)</f>
        <v>≪모모톡_イズナ (水着)≫</v>
      </c>
      <c r="AJ56" s="72" t="str">
        <f t="array" ref="AJ56">IFERROR(TRIM(_xlfn.REGEXEXTRACT(AH56,"(\d+[%]?$|[A-Z]+$)")),"")</f>
        <v/>
      </c>
      <c r="AK56" s="67" t="s">
        <v>179</v>
      </c>
      <c r="AL56" s="70" t="str">
        <f t="shared" si="14"/>
        <v>≪모모톡_イズナ (水着)≫</v>
      </c>
      <c r="AM56" s="70" t="str">
        <f t="array" ref="AM56">IFERROR(TRIM(_xlfn.REGEXEXTRACT(AK56,"(\d.+[%]?$|[0-9]|[A-Z]+$)")),"")</f>
        <v/>
      </c>
      <c r="AN56" s="71" t="str">
        <f>IFERROR(VLOOKUP(AL56,'사용자가 입력할 시트'!$AF$2:$AG$60,2,FALSE),AL56)</f>
        <v>≪모모톡_イズナ (水着)≫</v>
      </c>
      <c r="AO56" s="72" t="str">
        <f t="array" ref="AO56">IFERROR(TRIM(_xlfn.REGEXEXTRACT(AM56,"(\d+[%]?$|[A-Z]+$)")),"")</f>
        <v/>
      </c>
      <c r="AP56" s="67" t="s">
        <v>179</v>
      </c>
      <c r="AQ56" s="70" t="str">
        <f t="shared" si="15"/>
        <v>≪모모톡_イズナ (水着)≫</v>
      </c>
      <c r="AR56" s="70" t="str">
        <f t="array" ref="AR56">IFERROR(TRIM(_xlfn.REGEXEXTRACT(AP56,"(\d.+[%]?$|[0-9]|[A-Z]+$)")),"")</f>
        <v/>
      </c>
      <c r="AS56" s="71" t="str">
        <f>IFERROR(VLOOKUP(AQ56,'사용자가 입력할 시트'!$AF$2:$AG$60,2,FALSE),AQ56)</f>
        <v>≪모모톡_イズナ (水着)≫</v>
      </c>
      <c r="AT56" s="72" t="str">
        <f t="array" ref="AT56">IFERROR(TRIM(_xlfn.REGEXEXTRACT(AR56,"(\d+[%]?$|[A-Z]+$)")),"")</f>
        <v/>
      </c>
      <c r="AU56" s="67" t="s">
        <v>137</v>
      </c>
      <c r="AV56" s="70" t="str">
        <f t="shared" si="16"/>
        <v>≪모모톡A≫</v>
      </c>
      <c r="AW56" s="70" t="str">
        <f t="array" ref="AW56">IFERROR(TRIM(_xlfn.REGEXEXTRACT(AU56,"(\d.+[%]?$|[0-9]|[A-Z]+$)")),"")</f>
        <v/>
      </c>
      <c r="AX56" s="71" t="str">
        <f>IFERROR(VLOOKUP(AV56,'사용자가 입력할 시트'!$AF$2:$AG$60,2,FALSE),AV56)</f>
        <v>≪모모톡A≫</v>
      </c>
      <c r="AY56" s="72" t="str">
        <f t="array" ref="AY56">IFERROR(TRIM(_xlfn.REGEXEXTRACT(AW56,"(\d+[%]?$|[A-Z]+$)")),"")</f>
        <v/>
      </c>
      <c r="AZ56" s="67" t="s">
        <v>137</v>
      </c>
      <c r="BA56" s="70" t="str">
        <f t="shared" si="17"/>
        <v>≪모모톡A≫</v>
      </c>
      <c r="BB56" s="70" t="str">
        <f t="array" ref="BB56">IFERROR(TRIM(_xlfn.REGEXEXTRACT(AZ56,"(\d.+[%]?$|[0-9]|[A-Z]+$)")),"")</f>
        <v/>
      </c>
      <c r="BC56" s="71" t="str">
        <f>IFERROR(VLOOKUP(BA56,'사용자가 입력할 시트'!$AF$2:$AG$60,2,FALSE),BA56)</f>
        <v>≪모모톡A≫</v>
      </c>
      <c r="BD56" s="72" t="str">
        <f t="array" ref="BD56">IFERROR(TRIM(_xlfn.REGEXEXTRACT(BB56,"(\d+[%]?$|[A-Z]+$)")),"")</f>
        <v/>
      </c>
      <c r="BE56" s="67" t="s">
        <v>137</v>
      </c>
      <c r="BF56" s="70" t="str">
        <f t="shared" si="18"/>
        <v>≪모모톡A≫</v>
      </c>
      <c r="BG56" s="70" t="str">
        <f t="array" ref="BG56">IFERROR(TRIM(_xlfn.REGEXEXTRACT(BE56,"(\d.+[%]?$|[0-9]|[A-Z]+$)")),"")</f>
        <v/>
      </c>
      <c r="BH56" s="71" t="str">
        <f>IFERROR(VLOOKUP(BF56,'사용자가 입력할 시트'!$AF$2:$AG$60,2,FALSE),BF56)</f>
        <v>≪모모톡A≫</v>
      </c>
      <c r="BI56" s="72" t="str">
        <f t="array" ref="BI56">IFERROR(TRIM(_xlfn.REGEXEXTRACT(BG56,"(\d+[%]?$|[A-Z]+$)")),"")</f>
        <v/>
      </c>
      <c r="BJ56" s="67" t="s">
        <v>137</v>
      </c>
      <c r="BK56" s="70" t="str">
        <f t="shared" si="19"/>
        <v>≪모모톡A≫</v>
      </c>
      <c r="BL56" s="70" t="str">
        <f t="array" ref="BL56">IFERROR(TRIM(_xlfn.REGEXEXTRACT(BJ56,"(\d.+[%]?$|[0-9]|[A-Z]+$)")),"")</f>
        <v/>
      </c>
      <c r="BM56" s="71" t="str">
        <f>IFERROR(VLOOKUP(BK56,'사용자가 입력할 시트'!$AF$2:$AG$60,2,FALSE),BK56)</f>
        <v>≪모모톡A≫</v>
      </c>
      <c r="BN56" s="72" t="str">
        <f t="array" ref="BN56">IFERROR(TRIM(_xlfn.REGEXEXTRACT(BL56,"(\d+[%]?$|[A-Z]+$)")),"")</f>
        <v/>
      </c>
      <c r="BO56" s="67" t="s">
        <v>137</v>
      </c>
      <c r="BP56" s="70" t="str">
        <f t="shared" si="20"/>
        <v>≪모모톡A≫</v>
      </c>
      <c r="BQ56" s="70" t="str">
        <f t="array" ref="BQ56">IFERROR(TRIM(_xlfn.REGEXEXTRACT(BO56,"(\d.+[%]?$|[0-9]|[A-Z]+$)")),"")</f>
        <v/>
      </c>
      <c r="BR56" s="71" t="str">
        <f>IFERROR(VLOOKUP(BP56,'사용자가 입력할 시트'!$AF$2:$AG$60,2,FALSE),BP56)</f>
        <v>≪모모톡A≫</v>
      </c>
      <c r="BS56" s="72" t="str">
        <f t="array" ref="BS56">IFERROR(TRIM(_xlfn.REGEXEXTRACT(BQ56,"(\d+[%]?$|[A-Z]+$)")),"")</f>
        <v/>
      </c>
      <c r="BT56" s="67" t="s">
        <v>137</v>
      </c>
      <c r="BU56" s="70" t="str">
        <f t="shared" si="21"/>
        <v>≪모모톡A≫</v>
      </c>
      <c r="BV56" s="70" t="str">
        <f t="array" ref="BV56">IFERROR(TRIM(_xlfn.REGEXEXTRACT(BT56,"(\d.+[%]?$|[0-9]|[A-Z]+$)")),"")</f>
        <v/>
      </c>
      <c r="BW56" s="71" t="str">
        <f>IFERROR(VLOOKUP(BU56,'사용자가 입력할 시트'!$AF$2:$AG$60,2,FALSE),BU56)</f>
        <v>≪모모톡A≫</v>
      </c>
      <c r="BX56" s="72" t="str">
        <f t="array" ref="BX56">IFERROR(TRIM(_xlfn.REGEXEXTRACT(BV56,"(\d+[%]?$|[A-Z]+$)")),"")</f>
        <v/>
      </c>
      <c r="BY56" s="67" t="s">
        <v>137</v>
      </c>
      <c r="BZ56" s="70" t="str">
        <f t="shared" si="22"/>
        <v>≪모모톡A≫</v>
      </c>
      <c r="CA56" s="70" t="str">
        <f t="array" ref="CA56">IFERROR(TRIM(_xlfn.REGEXEXTRACT(BY56,"(\d.+[%]?$|[0-9]|[A-Z]+$)")),"")</f>
        <v/>
      </c>
      <c r="CB56" s="71" t="str">
        <f>IFERROR(VLOOKUP(BZ56,'사용자가 입력할 시트'!$AF$2:$AG$60,2,FALSE),BZ56)</f>
        <v>≪모모톡A≫</v>
      </c>
      <c r="CC56" s="72" t="str">
        <f t="array" ref="CC56">IFERROR(TRIM(_xlfn.REGEXEXTRACT(CA56,"(\d+[%]?$|[A-Z]+$)")),"")</f>
        <v/>
      </c>
    </row>
    <row r="57" spans="2:81">
      <c r="W57" s="2" t="str">
        <f t="shared" ca="1" si="10"/>
        <v/>
      </c>
      <c r="X57" s="2" t="str">
        <f t="shared" ca="1" si="11"/>
        <v/>
      </c>
      <c r="Y57" s="2" t="str">
        <f t="shared" ca="1" si="12"/>
        <v/>
      </c>
      <c r="Z57" s="42" t="str">
        <f t="shared" ref="Z57" ca="1" si="71">IF(X56="","",$X$4&amp;" :"&amp;X56&amp;IF(X56=X57,"","("&amp;X57&amp;")"))</f>
        <v>실내 :D()</v>
      </c>
      <c r="AC57" s="4" t="s">
        <v>184</v>
      </c>
      <c r="AD57" s="4" t="str">
        <f>_xlfn.LET(_xlpm.titleCell, MATCH($AC$57, BW:BW, 0),_xlpm.nextTitleCell, IFERROR(_xlfn.AGGREGATE(15, 6, ROW($BW$2:$BW$100)/(LEFT($BW$2:$BW$100,1)="≪")/(ROW($BW$2:$BW$100)&gt;_xlpm.titleCell), 1), ROWS(BW:BW)+1),_xlpm.startRow, _xlpm.titleCell + 1,_xlpm.endRow, _xlpm.nextTitleCell - 1,_xlpm.colStart, COLUMN($BW$2),_xlpm.colEnd, _xlpm.colStart + 1,ADDRESS(_xlpm.startRow, _xlpm.colStart) &amp; ":" &amp; ADDRESS(_xlpm.endRow, _xlpm.colEnd))</f>
        <v>$BW$36:$BX$55</v>
      </c>
      <c r="AF57" s="67" t="s">
        <v>135</v>
      </c>
      <c r="AG57" s="70" t="str">
        <f t="shared" si="13"/>
        <v>攻撃力</v>
      </c>
      <c r="AH57" s="70" t="str">
        <f t="array" ref="AH57">IFERROR(TRIM(_xlfn.REGEXEXTRACT(AF57,"(\d.+[%]?$|[0-9]|[A-Z]+$)")),"")</f>
        <v>207</v>
      </c>
      <c r="AI57" s="71" t="str">
        <f>IFERROR(VLOOKUP(AG57,'사용자가 입력할 시트'!$AF$2:$AG$60,2,FALSE),AG57)</f>
        <v>공격력</v>
      </c>
      <c r="AJ57" s="72" t="str">
        <f t="array" ref="AJ57">IFERROR(TRIM(_xlfn.REGEXEXTRACT(AH57,"(\d+[%]?$|[A-Z]+$)")),"")</f>
        <v>207</v>
      </c>
      <c r="AK57" s="67" t="s">
        <v>135</v>
      </c>
      <c r="AL57" s="70" t="str">
        <f t="shared" si="14"/>
        <v>攻撃力</v>
      </c>
      <c r="AM57" s="70" t="str">
        <f t="array" ref="AM57">IFERROR(TRIM(_xlfn.REGEXEXTRACT(AK57,"(\d.+[%]?$|[0-9]|[A-Z]+$)")),"")</f>
        <v>207</v>
      </c>
      <c r="AN57" s="71" t="str">
        <f>IFERROR(VLOOKUP(AL57,'사용자가 입력할 시트'!$AF$2:$AG$60,2,FALSE),AL57)</f>
        <v>공격력</v>
      </c>
      <c r="AO57" s="72" t="str">
        <f t="array" ref="AO57">IFERROR(TRIM(_xlfn.REGEXEXTRACT(AM57,"(\d+[%]?$|[A-Z]+$)")),"")</f>
        <v>207</v>
      </c>
      <c r="AP57" s="67" t="s">
        <v>135</v>
      </c>
      <c r="AQ57" s="70" t="str">
        <f t="shared" si="15"/>
        <v>攻撃力</v>
      </c>
      <c r="AR57" s="70" t="str">
        <f t="array" ref="AR57">IFERROR(TRIM(_xlfn.REGEXEXTRACT(AP57,"(\d.+[%]?$|[0-9]|[A-Z]+$)")),"")</f>
        <v>207</v>
      </c>
      <c r="AS57" s="71" t="str">
        <f>IFERROR(VLOOKUP(AQ57,'사용자가 입력할 시트'!$AF$2:$AG$60,2,FALSE),AQ57)</f>
        <v>공격력</v>
      </c>
      <c r="AT57" s="72" t="str">
        <f t="array" ref="AT57">IFERROR(TRIM(_xlfn.REGEXEXTRACT(AR57,"(\d+[%]?$|[A-Z]+$)")),"")</f>
        <v>207</v>
      </c>
      <c r="AU57" s="67" t="s">
        <v>135</v>
      </c>
      <c r="AV57" s="70" t="str">
        <f t="shared" si="16"/>
        <v>攻撃力</v>
      </c>
      <c r="AW57" s="70" t="str">
        <f t="array" ref="AW57">IFERROR(TRIM(_xlfn.REGEXEXTRACT(AU57,"(\d.+[%]?$|[0-9]|[A-Z]+$)")),"")</f>
        <v>207</v>
      </c>
      <c r="AX57" s="71" t="str">
        <f>IFERROR(VLOOKUP(AV57,'사용자가 입력할 시트'!$AF$2:$AG$60,2,FALSE),AV57)</f>
        <v>공격력</v>
      </c>
      <c r="AY57" s="72" t="str">
        <f t="array" ref="AY57">IFERROR(TRIM(_xlfn.REGEXEXTRACT(AW57,"(\d+[%]?$|[A-Z]+$)")),"")</f>
        <v>207</v>
      </c>
      <c r="AZ57" s="67" t="s">
        <v>135</v>
      </c>
      <c r="BA57" s="70" t="str">
        <f t="shared" si="17"/>
        <v>攻撃力</v>
      </c>
      <c r="BB57" s="70" t="str">
        <f t="array" ref="BB57">IFERROR(TRIM(_xlfn.REGEXEXTRACT(AZ57,"(\d.+[%]?$|[0-9]|[A-Z]+$)")),"")</f>
        <v>207</v>
      </c>
      <c r="BC57" s="71" t="str">
        <f>IFERROR(VLOOKUP(BA57,'사용자가 입력할 시트'!$AF$2:$AG$60,2,FALSE),BA57)</f>
        <v>공격력</v>
      </c>
      <c r="BD57" s="72" t="str">
        <f t="array" ref="BD57">IFERROR(TRIM(_xlfn.REGEXEXTRACT(BB57,"(\d+[%]?$|[A-Z]+$)")),"")</f>
        <v>207</v>
      </c>
      <c r="BE57" s="67" t="s">
        <v>135</v>
      </c>
      <c r="BF57" s="70" t="str">
        <f t="shared" si="18"/>
        <v>攻撃力</v>
      </c>
      <c r="BG57" s="70" t="str">
        <f t="array" ref="BG57">IFERROR(TRIM(_xlfn.REGEXEXTRACT(BE57,"(\d.+[%]?$|[0-9]|[A-Z]+$)")),"")</f>
        <v>207</v>
      </c>
      <c r="BH57" s="71" t="str">
        <f>IFERROR(VLOOKUP(BF57,'사용자가 입력할 시트'!$AF$2:$AG$60,2,FALSE),BF57)</f>
        <v>공격력</v>
      </c>
      <c r="BI57" s="72" t="str">
        <f t="array" ref="BI57">IFERROR(TRIM(_xlfn.REGEXEXTRACT(BG57,"(\d+[%]?$|[A-Z]+$)")),"")</f>
        <v>207</v>
      </c>
      <c r="BJ57" s="67" t="s">
        <v>135</v>
      </c>
      <c r="BK57" s="70" t="str">
        <f t="shared" si="19"/>
        <v>攻撃力</v>
      </c>
      <c r="BL57" s="70" t="str">
        <f t="array" ref="BL57">IFERROR(TRIM(_xlfn.REGEXEXTRACT(BJ57,"(\d.+[%]?$|[0-9]|[A-Z]+$)")),"")</f>
        <v>207</v>
      </c>
      <c r="BM57" s="71" t="str">
        <f>IFERROR(VLOOKUP(BK57,'사용자가 입력할 시트'!$AF$2:$AG$60,2,FALSE),BK57)</f>
        <v>공격력</v>
      </c>
      <c r="BN57" s="72" t="str">
        <f t="array" ref="BN57">IFERROR(TRIM(_xlfn.REGEXEXTRACT(BL57,"(\d+[%]?$|[A-Z]+$)")),"")</f>
        <v>207</v>
      </c>
      <c r="BO57" s="67" t="s">
        <v>135</v>
      </c>
      <c r="BP57" s="70" t="str">
        <f t="shared" si="20"/>
        <v>攻撃力</v>
      </c>
      <c r="BQ57" s="70" t="str">
        <f t="array" ref="BQ57">IFERROR(TRIM(_xlfn.REGEXEXTRACT(BO57,"(\d.+[%]?$|[0-9]|[A-Z]+$)")),"")</f>
        <v>207</v>
      </c>
      <c r="BR57" s="71" t="str">
        <f>IFERROR(VLOOKUP(BP57,'사용자가 입력할 시트'!$AF$2:$AG$60,2,FALSE),BP57)</f>
        <v>공격력</v>
      </c>
      <c r="BS57" s="72" t="str">
        <f t="array" ref="BS57">IFERROR(TRIM(_xlfn.REGEXEXTRACT(BQ57,"(\d+[%]?$|[A-Z]+$)")),"")</f>
        <v>207</v>
      </c>
      <c r="BT57" s="67" t="s">
        <v>135</v>
      </c>
      <c r="BU57" s="70" t="str">
        <f t="shared" si="21"/>
        <v>攻撃力</v>
      </c>
      <c r="BV57" s="70" t="str">
        <f t="array" ref="BV57">IFERROR(TRIM(_xlfn.REGEXEXTRACT(BT57,"(\d.+[%]?$|[0-9]|[A-Z]+$)")),"")</f>
        <v>207</v>
      </c>
      <c r="BW57" s="71" t="str">
        <f>IFERROR(VLOOKUP(BU57,'사용자가 입력할 시트'!$AF$2:$AG$60,2,FALSE),BU57)</f>
        <v>공격력</v>
      </c>
      <c r="BX57" s="72" t="str">
        <f t="array" ref="BX57">IFERROR(TRIM(_xlfn.REGEXEXTRACT(BV57,"(\d+[%]?$|[A-Z]+$)")),"")</f>
        <v>207</v>
      </c>
      <c r="BY57" s="67" t="s">
        <v>135</v>
      </c>
      <c r="BZ57" s="70" t="str">
        <f t="shared" si="22"/>
        <v>攻撃力</v>
      </c>
      <c r="CA57" s="70" t="str">
        <f t="array" ref="CA57">IFERROR(TRIM(_xlfn.REGEXEXTRACT(BY57,"(\d.+[%]?$|[0-9]|[A-Z]+$)")),"")</f>
        <v>207</v>
      </c>
      <c r="CB57" s="71" t="str">
        <f>IFERROR(VLOOKUP(BZ57,'사용자가 입력할 시트'!$AF$2:$AG$60,2,FALSE),BZ57)</f>
        <v>공격력</v>
      </c>
      <c r="CC57" s="72" t="str">
        <f t="array" ref="CC57">IFERROR(TRIM(_xlfn.REGEXEXTRACT(CA57,"(\d+[%]?$|[A-Z]+$)")),"")</f>
        <v>207</v>
      </c>
    </row>
    <row r="58" spans="2:81">
      <c r="C58" s="2" t="s">
        <v>173</v>
      </c>
      <c r="W58" s="2" t="str">
        <f t="shared" ca="1" si="10"/>
        <v/>
      </c>
      <c r="X58" s="2" t="str">
        <f t="shared" ca="1" si="11"/>
        <v/>
      </c>
      <c r="Y58" s="2" t="str">
        <f t="shared" ca="1" si="12"/>
        <v/>
      </c>
      <c r="Z58" s="42" t="str">
        <f t="shared" ref="Z58" ca="1" si="72">IF(Y56="","",$Y$4&amp;" :"&amp;Y56&amp;IF(Y56=Y57,"","("&amp;Y57&amp;")"))</f>
        <v>야외 :B()</v>
      </c>
      <c r="AC58" s="4" t="s">
        <v>192</v>
      </c>
      <c r="AD58" s="4" t="str">
        <f>_xlfn.LET(_xlpm.titleCell, MATCH($AC$58, BW:BW, 0),_xlpm.nextTitleCell, IFERROR(_xlfn.AGGREGATE(15, 6, ROW($BW$2:$BW$100)/(LEFT($BW$2:$BW$100,1)="≪")/(ROW($BW$2:$BW$100)&gt;_xlpm.titleCell), 1), ROWS(BW:BW)+1),_xlpm.startRow, _xlpm.titleCell + 1,_xlpm.endRow, _xlpm.nextTitleCell - 1,_xlpm.colStart, COLUMN($BW$2),_xlpm.colEnd, _xlpm.colStart + 1,ADDRESS(_xlpm.startRow, _xlpm.colStart) &amp; ":" &amp; ADDRESS(_xlpm.endRow, _xlpm.colEnd))</f>
        <v>$BW$57:$BX$59</v>
      </c>
      <c r="AF58" s="67" t="s">
        <v>97</v>
      </c>
      <c r="AG58" s="70" t="str">
        <f t="shared" si="13"/>
        <v>最大HP</v>
      </c>
      <c r="AH58" s="70" t="str">
        <f t="array" ref="AH58">IFERROR(TRIM(_xlfn.REGEXEXTRACT(AF58,"(\d.+[%]?$|[0-9]|[A-Z]+$)")),"")</f>
        <v>970</v>
      </c>
      <c r="AI58" s="71" t="str">
        <f>IFERROR(VLOOKUP(AG58,'사용자가 입력할 시트'!$AF$2:$AG$60,2,FALSE),AG58)</f>
        <v>체력</v>
      </c>
      <c r="AJ58" s="72" t="str">
        <f t="array" ref="AJ58">IFERROR(TRIM(_xlfn.REGEXEXTRACT(AH58,"(\d+[%]?$|[A-Z]+$)")),"")</f>
        <v>970</v>
      </c>
      <c r="AK58" s="67" t="s">
        <v>97</v>
      </c>
      <c r="AL58" s="70" t="str">
        <f t="shared" si="14"/>
        <v>最大HP</v>
      </c>
      <c r="AM58" s="70" t="str">
        <f t="array" ref="AM58">IFERROR(TRIM(_xlfn.REGEXEXTRACT(AK58,"(\d.+[%]?$|[0-9]|[A-Z]+$)")),"")</f>
        <v>970</v>
      </c>
      <c r="AN58" s="71" t="str">
        <f>IFERROR(VLOOKUP(AL58,'사용자가 입력할 시트'!$AF$2:$AG$60,2,FALSE),AL58)</f>
        <v>체력</v>
      </c>
      <c r="AO58" s="72" t="str">
        <f t="array" ref="AO58">IFERROR(TRIM(_xlfn.REGEXEXTRACT(AM58,"(\d+[%]?$|[A-Z]+$)")),"")</f>
        <v>970</v>
      </c>
      <c r="AP58" s="67" t="s">
        <v>97</v>
      </c>
      <c r="AQ58" s="70" t="str">
        <f t="shared" si="15"/>
        <v>最大HP</v>
      </c>
      <c r="AR58" s="70" t="str">
        <f t="array" ref="AR58">IFERROR(TRIM(_xlfn.REGEXEXTRACT(AP58,"(\d.+[%]?$|[0-9]|[A-Z]+$)")),"")</f>
        <v>970</v>
      </c>
      <c r="AS58" s="71" t="str">
        <f>IFERROR(VLOOKUP(AQ58,'사용자가 입력할 시트'!$AF$2:$AG$60,2,FALSE),AQ58)</f>
        <v>체력</v>
      </c>
      <c r="AT58" s="72" t="str">
        <f t="array" ref="AT58">IFERROR(TRIM(_xlfn.REGEXEXTRACT(AR58,"(\d+[%]?$|[A-Z]+$)")),"")</f>
        <v>970</v>
      </c>
      <c r="AU58" s="67" t="s">
        <v>97</v>
      </c>
      <c r="AV58" s="70" t="str">
        <f t="shared" si="16"/>
        <v>最大HP</v>
      </c>
      <c r="AW58" s="70" t="str">
        <f t="array" ref="AW58">IFERROR(TRIM(_xlfn.REGEXEXTRACT(AU58,"(\d.+[%]?$|[0-9]|[A-Z]+$)")),"")</f>
        <v>970</v>
      </c>
      <c r="AX58" s="71" t="str">
        <f>IFERROR(VLOOKUP(AV58,'사용자가 입력할 시트'!$AF$2:$AG$60,2,FALSE),AV58)</f>
        <v>체력</v>
      </c>
      <c r="AY58" s="72" t="str">
        <f t="array" ref="AY58">IFERROR(TRIM(_xlfn.REGEXEXTRACT(AW58,"(\d+[%]?$|[A-Z]+$)")),"")</f>
        <v>970</v>
      </c>
      <c r="AZ58" s="67" t="s">
        <v>97</v>
      </c>
      <c r="BA58" s="70" t="str">
        <f t="shared" si="17"/>
        <v>最大HP</v>
      </c>
      <c r="BB58" s="70" t="str">
        <f t="array" ref="BB58">IFERROR(TRIM(_xlfn.REGEXEXTRACT(AZ58,"(\d.+[%]?$|[0-9]|[A-Z]+$)")),"")</f>
        <v>970</v>
      </c>
      <c r="BC58" s="71" t="str">
        <f>IFERROR(VLOOKUP(BA58,'사용자가 입력할 시트'!$AF$2:$AG$60,2,FALSE),BA58)</f>
        <v>체력</v>
      </c>
      <c r="BD58" s="72" t="str">
        <f t="array" ref="BD58">IFERROR(TRIM(_xlfn.REGEXEXTRACT(BB58,"(\d+[%]?$|[A-Z]+$)")),"")</f>
        <v>970</v>
      </c>
      <c r="BE58" s="67" t="s">
        <v>97</v>
      </c>
      <c r="BF58" s="70" t="str">
        <f t="shared" si="18"/>
        <v>最大HP</v>
      </c>
      <c r="BG58" s="70" t="str">
        <f t="array" ref="BG58">IFERROR(TRIM(_xlfn.REGEXEXTRACT(BE58,"(\d.+[%]?$|[0-9]|[A-Z]+$)")),"")</f>
        <v>970</v>
      </c>
      <c r="BH58" s="71" t="str">
        <f>IFERROR(VLOOKUP(BF58,'사용자가 입력할 시트'!$AF$2:$AG$60,2,FALSE),BF58)</f>
        <v>체력</v>
      </c>
      <c r="BI58" s="72" t="str">
        <f t="array" ref="BI58">IFERROR(TRIM(_xlfn.REGEXEXTRACT(BG58,"(\d+[%]?$|[A-Z]+$)")),"")</f>
        <v>970</v>
      </c>
      <c r="BJ58" s="67" t="s">
        <v>97</v>
      </c>
      <c r="BK58" s="70" t="str">
        <f t="shared" si="19"/>
        <v>最大HP</v>
      </c>
      <c r="BL58" s="70" t="str">
        <f t="array" ref="BL58">IFERROR(TRIM(_xlfn.REGEXEXTRACT(BJ58,"(\d.+[%]?$|[0-9]|[A-Z]+$)")),"")</f>
        <v>970</v>
      </c>
      <c r="BM58" s="71" t="str">
        <f>IFERROR(VLOOKUP(BK58,'사용자가 입력할 시트'!$AF$2:$AG$60,2,FALSE),BK58)</f>
        <v>체력</v>
      </c>
      <c r="BN58" s="72" t="str">
        <f t="array" ref="BN58">IFERROR(TRIM(_xlfn.REGEXEXTRACT(BL58,"(\d+[%]?$|[A-Z]+$)")),"")</f>
        <v>970</v>
      </c>
      <c r="BO58" s="67" t="s">
        <v>97</v>
      </c>
      <c r="BP58" s="70" t="str">
        <f t="shared" si="20"/>
        <v>最大HP</v>
      </c>
      <c r="BQ58" s="70" t="str">
        <f t="array" ref="BQ58">IFERROR(TRIM(_xlfn.REGEXEXTRACT(BO58,"(\d.+[%]?$|[0-9]|[A-Z]+$)")),"")</f>
        <v>970</v>
      </c>
      <c r="BR58" s="71" t="str">
        <f>IFERROR(VLOOKUP(BP58,'사용자가 입력할 시트'!$AF$2:$AG$60,2,FALSE),BP58)</f>
        <v>체력</v>
      </c>
      <c r="BS58" s="72" t="str">
        <f t="array" ref="BS58">IFERROR(TRIM(_xlfn.REGEXEXTRACT(BQ58,"(\d+[%]?$|[A-Z]+$)")),"")</f>
        <v>970</v>
      </c>
      <c r="BT58" s="67" t="s">
        <v>97</v>
      </c>
      <c r="BU58" s="70" t="str">
        <f t="shared" si="21"/>
        <v>最大HP</v>
      </c>
      <c r="BV58" s="70" t="str">
        <f t="array" ref="BV58">IFERROR(TRIM(_xlfn.REGEXEXTRACT(BT58,"(\d.+[%]?$|[0-9]|[A-Z]+$)")),"")</f>
        <v>970</v>
      </c>
      <c r="BW58" s="71" t="str">
        <f>IFERROR(VLOOKUP(BU58,'사용자가 입력할 시트'!$AF$2:$AG$60,2,FALSE),BU58)</f>
        <v>체력</v>
      </c>
      <c r="BX58" s="72" t="str">
        <f t="array" ref="BX58">IFERROR(TRIM(_xlfn.REGEXEXTRACT(BV58,"(\d+[%]?$|[A-Z]+$)")),"")</f>
        <v>970</v>
      </c>
      <c r="BY58" s="67" t="s">
        <v>97</v>
      </c>
      <c r="BZ58" s="70" t="str">
        <f t="shared" si="22"/>
        <v>最大HP</v>
      </c>
      <c r="CA58" s="70" t="str">
        <f t="array" ref="CA58">IFERROR(TRIM(_xlfn.REGEXEXTRACT(BY58,"(\d.+[%]?$|[0-9]|[A-Z]+$)")),"")</f>
        <v>970</v>
      </c>
      <c r="CB58" s="71" t="str">
        <f>IFERROR(VLOOKUP(BZ58,'사용자가 입력할 시트'!$AF$2:$AG$60,2,FALSE),BZ58)</f>
        <v>체력</v>
      </c>
      <c r="CC58" s="72" t="str">
        <f t="array" ref="CC58">IFERROR(TRIM(_xlfn.REGEXEXTRACT(CA58,"(\d+[%]?$|[A-Z]+$)")),"")</f>
        <v>970</v>
      </c>
    </row>
    <row r="59" spans="2:81">
      <c r="C59" s="2" t="s">
        <v>174</v>
      </c>
      <c r="W59" s="2" t="str">
        <f t="shared" ca="1" si="10"/>
        <v>S</v>
      </c>
      <c r="X59" s="2" t="str">
        <f t="shared" ca="1" si="11"/>
        <v>D</v>
      </c>
      <c r="Y59" s="2" t="str">
        <f t="shared" ca="1" si="12"/>
        <v>B</v>
      </c>
      <c r="Z59" s="42" t="str">
        <f t="shared" ref="Z59" ca="1" si="73">IF(W59="","",$W$4&amp;" :"&amp;W59&amp;IF(W59=W60,"","("&amp;W60&amp;")"))</f>
        <v>시가 :S()</v>
      </c>
      <c r="AC59" s="4" t="s">
        <v>193</v>
      </c>
      <c r="AD59" s="4" t="str">
        <f>_xlfn.LET(_xlpm.titleCell, MATCH($AC$59, BW:BW, 0),_xlpm.nextTitleCell, IFERROR(_xlfn.AGGREGATE(15, 6, ROW($BW$2:$BW$100)/(LEFT($BW$2:$BW$100,1)="≪")/(ROW($BW$2:$BW$100)&gt;_xlpm.titleCell), 1), ROWS(BW:BW)+1),_xlpm.startRow, _xlpm.titleCell + 1,_xlpm.endRow, _xlpm.nextTitleCell - 1,_xlpm.colStart, COLUMN($BW$2),_xlpm.colEnd, _xlpm.colStart + 1,ADDRESS(_xlpm.startRow, _xlpm.colStart) &amp; ":" &amp; ADDRESS(_xlpm.endRow, _xlpm.colEnd))</f>
        <v>$BW$61:$BX$63</v>
      </c>
      <c r="AF59" s="67"/>
      <c r="AG59" s="70" t="str">
        <f t="shared" si="13"/>
        <v/>
      </c>
      <c r="AH59" s="70" t="str">
        <f t="array" ref="AH59">IFERROR(TRIM(_xlfn.REGEXEXTRACT(AF59,"(\d.+[%]?$|[0-9]|[A-Z]+$)")),"")</f>
        <v/>
      </c>
      <c r="AI59" s="71" t="str">
        <f>IFERROR(VLOOKUP(AG59,'사용자가 입력할 시트'!$AF$2:$AG$60,2,FALSE),AG59)</f>
        <v/>
      </c>
      <c r="AJ59" s="72" t="str">
        <f t="array" ref="AJ59">IFERROR(TRIM(_xlfn.REGEXEXTRACT(AH59,"(\d+[%]?$|[A-Z]+$)")),"")</f>
        <v/>
      </c>
      <c r="AK59" s="67"/>
      <c r="AL59" s="70" t="str">
        <f t="shared" si="14"/>
        <v/>
      </c>
      <c r="AM59" s="70" t="str">
        <f t="array" ref="AM59">IFERROR(TRIM(_xlfn.REGEXEXTRACT(AK59,"(\d.+[%]?$|[0-9]|[A-Z]+$)")),"")</f>
        <v/>
      </c>
      <c r="AN59" s="71" t="str">
        <f>IFERROR(VLOOKUP(AL59,'사용자가 입력할 시트'!$AF$2:$AG$60,2,FALSE),AL59)</f>
        <v/>
      </c>
      <c r="AO59" s="72" t="str">
        <f t="array" ref="AO59">IFERROR(TRIM(_xlfn.REGEXEXTRACT(AM59,"(\d+[%]?$|[A-Z]+$)")),"")</f>
        <v/>
      </c>
      <c r="AP59" s="67"/>
      <c r="AQ59" s="70" t="str">
        <f t="shared" si="15"/>
        <v/>
      </c>
      <c r="AR59" s="70" t="str">
        <f t="array" ref="AR59">IFERROR(TRIM(_xlfn.REGEXEXTRACT(AP59,"(\d.+[%]?$|[0-9]|[A-Z]+$)")),"")</f>
        <v/>
      </c>
      <c r="AS59" s="71" t="str">
        <f>IFERROR(VLOOKUP(AQ59,'사용자가 입력할 시트'!$AF$2:$AG$60,2,FALSE),AQ59)</f>
        <v/>
      </c>
      <c r="AT59" s="72" t="str">
        <f t="array" ref="AT59">IFERROR(TRIM(_xlfn.REGEXEXTRACT(AR59,"(\d+[%]?$|[A-Z]+$)")),"")</f>
        <v/>
      </c>
      <c r="AU59" s="67"/>
      <c r="AV59" s="70" t="str">
        <f t="shared" si="16"/>
        <v/>
      </c>
      <c r="AW59" s="70" t="str">
        <f t="array" ref="AW59">IFERROR(TRIM(_xlfn.REGEXEXTRACT(AU59,"(\d.+[%]?$|[0-9]|[A-Z]+$)")),"")</f>
        <v/>
      </c>
      <c r="AX59" s="71" t="str">
        <f>IFERROR(VLOOKUP(AV59,'사용자가 입력할 시트'!$AF$2:$AG$60,2,FALSE),AV59)</f>
        <v/>
      </c>
      <c r="AY59" s="72" t="str">
        <f t="array" ref="AY59">IFERROR(TRIM(_xlfn.REGEXEXTRACT(AW59,"(\d+[%]?$|[A-Z]+$)")),"")</f>
        <v/>
      </c>
      <c r="AZ59" s="67"/>
      <c r="BA59" s="70" t="str">
        <f t="shared" si="17"/>
        <v/>
      </c>
      <c r="BB59" s="70" t="str">
        <f t="array" ref="BB59">IFERROR(TRIM(_xlfn.REGEXEXTRACT(AZ59,"(\d.+[%]?$|[0-9]|[A-Z]+$)")),"")</f>
        <v/>
      </c>
      <c r="BC59" s="71" t="str">
        <f>IFERROR(VLOOKUP(BA59,'사용자가 입력할 시트'!$AF$2:$AG$60,2,FALSE),BA59)</f>
        <v/>
      </c>
      <c r="BD59" s="72" t="str">
        <f t="array" ref="BD59">IFERROR(TRIM(_xlfn.REGEXEXTRACT(BB59,"(\d+[%]?$|[A-Z]+$)")),"")</f>
        <v/>
      </c>
      <c r="BE59" s="67"/>
      <c r="BF59" s="70" t="str">
        <f t="shared" si="18"/>
        <v/>
      </c>
      <c r="BG59" s="70" t="str">
        <f t="array" ref="BG59">IFERROR(TRIM(_xlfn.REGEXEXTRACT(BE59,"(\d.+[%]?$|[0-9]|[A-Z]+$)")),"")</f>
        <v/>
      </c>
      <c r="BH59" s="71" t="str">
        <f>IFERROR(VLOOKUP(BF59,'사용자가 입력할 시트'!$AF$2:$AG$60,2,FALSE),BF59)</f>
        <v/>
      </c>
      <c r="BI59" s="72" t="str">
        <f t="array" ref="BI59">IFERROR(TRIM(_xlfn.REGEXEXTRACT(BG59,"(\d+[%]?$|[A-Z]+$)")),"")</f>
        <v/>
      </c>
      <c r="BJ59" s="67"/>
      <c r="BK59" s="70" t="str">
        <f t="shared" si="19"/>
        <v/>
      </c>
      <c r="BL59" s="70" t="str">
        <f t="array" ref="BL59">IFERROR(TRIM(_xlfn.REGEXEXTRACT(BJ59,"(\d.+[%]?$|[0-9]|[A-Z]+$)")),"")</f>
        <v/>
      </c>
      <c r="BM59" s="71" t="str">
        <f>IFERROR(VLOOKUP(BK59,'사용자가 입력할 시트'!$AF$2:$AG$60,2,FALSE),BK59)</f>
        <v/>
      </c>
      <c r="BN59" s="72" t="str">
        <f t="array" ref="BN59">IFERROR(TRIM(_xlfn.REGEXEXTRACT(BL59,"(\d+[%]?$|[A-Z]+$)")),"")</f>
        <v/>
      </c>
      <c r="BO59" s="67"/>
      <c r="BP59" s="70" t="str">
        <f t="shared" si="20"/>
        <v/>
      </c>
      <c r="BQ59" s="70" t="str">
        <f t="array" ref="BQ59">IFERROR(TRIM(_xlfn.REGEXEXTRACT(BO59,"(\d.+[%]?$|[0-9]|[A-Z]+$)")),"")</f>
        <v/>
      </c>
      <c r="BR59" s="71" t="str">
        <f>IFERROR(VLOOKUP(BP59,'사용자가 입력할 시트'!$AF$2:$AG$60,2,FALSE),BP59)</f>
        <v/>
      </c>
      <c r="BS59" s="72" t="str">
        <f t="array" ref="BS59">IFERROR(TRIM(_xlfn.REGEXEXTRACT(BQ59,"(\d+[%]?$|[A-Z]+$)")),"")</f>
        <v/>
      </c>
      <c r="BT59" s="67"/>
      <c r="BU59" s="70" t="str">
        <f t="shared" si="21"/>
        <v/>
      </c>
      <c r="BV59" s="70" t="str">
        <f t="array" ref="BV59">IFERROR(TRIM(_xlfn.REGEXEXTRACT(BT59,"(\d.+[%]?$|[0-9]|[A-Z]+$)")),"")</f>
        <v/>
      </c>
      <c r="BW59" s="71" t="str">
        <f>IFERROR(VLOOKUP(BU59,'사용자가 입력할 시트'!$AF$2:$AG$60,2,FALSE),BU59)</f>
        <v/>
      </c>
      <c r="BX59" s="72" t="str">
        <f t="array" ref="BX59">IFERROR(TRIM(_xlfn.REGEXEXTRACT(BV59,"(\d+[%]?$|[A-Z]+$)")),"")</f>
        <v/>
      </c>
      <c r="BY59" s="67"/>
      <c r="BZ59" s="70" t="str">
        <f t="shared" si="22"/>
        <v/>
      </c>
      <c r="CA59" s="70" t="str">
        <f t="array" ref="CA59">IFERROR(TRIM(_xlfn.REGEXEXTRACT(BY59,"(\d.+[%]?$|[0-9]|[A-Z]+$)")),"")</f>
        <v/>
      </c>
      <c r="CB59" s="71" t="str">
        <f>IFERROR(VLOOKUP(BZ59,'사용자가 입력할 시트'!$AF$2:$AG$60,2,FALSE),BZ59)</f>
        <v/>
      </c>
      <c r="CC59" s="72" t="str">
        <f t="array" ref="CC59">IFERROR(TRIM(_xlfn.REGEXEXTRACT(CA59,"(\d+[%]?$|[A-Z]+$)")),"")</f>
        <v/>
      </c>
    </row>
    <row r="60" spans="2:81">
      <c r="W60" s="2" t="str">
        <f t="shared" ca="1" si="10"/>
        <v/>
      </c>
      <c r="X60" s="2" t="str">
        <f t="shared" ca="1" si="11"/>
        <v/>
      </c>
      <c r="Y60" s="2" t="str">
        <f t="shared" ca="1" si="12"/>
        <v/>
      </c>
      <c r="Z60" s="42" t="str">
        <f t="shared" ref="Z60" ca="1" si="74">IF(X59="","",$X$4&amp;" :"&amp;X59&amp;IF(X59=X60,"","("&amp;X60&amp;")"))</f>
        <v>실내 :D()</v>
      </c>
      <c r="AB60" s="1" t="s">
        <v>199</v>
      </c>
      <c r="AC60" s="4" t="s">
        <v>183</v>
      </c>
      <c r="AD60" s="4" t="str">
        <f>_xlfn.LET(_xlpm.titleCell, MATCH($AC$60, CB:CB, 0),_xlpm.nextTitleCell, IFERROR(_xlfn.AGGREGATE(15, 6, ROW($CB$2:$CB$100)/(LEFT($CB$2:$CB$100,1)="≪")/(ROW($CB$2:$CB$100)&gt;_xlpm.titleCell), 1), ROWS(CB:CB)+1),_xlpm.startRow, _xlpm.titleCell + 1,_xlpm.endRow, _xlpm.nextTitleCell - 1,_xlpm.colStart, COLUMN($CB$2),_xlpm.colEnd, _xlpm.colStart + 1,ADDRESS(_xlpm.startRow, _xlpm.colStart) &amp; ":" &amp; ADDRESS(_xlpm.endRow, _xlpm.colEnd))</f>
        <v>$CB$6:$CC$25</v>
      </c>
      <c r="AF60" s="67" t="s">
        <v>180</v>
      </c>
      <c r="AG60" s="70" t="str">
        <f t="shared" si="13"/>
        <v>≪모모톡_イズナ≫</v>
      </c>
      <c r="AH60" s="70" t="str">
        <f t="array" ref="AH60">IFERROR(TRIM(_xlfn.REGEXEXTRACT(AF60,"(\d.+[%]?$|[0-9]|[A-Z]+$)")),"")</f>
        <v/>
      </c>
      <c r="AI60" s="71" t="str">
        <f>IFERROR(VLOOKUP(AG60,'사용자가 입력할 시트'!$AF$2:$AG$60,2,FALSE),AG60)</f>
        <v>≪모모톡_イズナ≫</v>
      </c>
      <c r="AJ60" s="72" t="str">
        <f t="array" ref="AJ60">IFERROR(TRIM(_xlfn.REGEXEXTRACT(AH60,"(\d+[%]?$|[A-Z]+$)")),"")</f>
        <v/>
      </c>
      <c r="AK60" s="67" t="s">
        <v>180</v>
      </c>
      <c r="AL60" s="70" t="str">
        <f t="shared" si="14"/>
        <v>≪모모톡_イズナ≫</v>
      </c>
      <c r="AM60" s="70" t="str">
        <f t="array" ref="AM60">IFERROR(TRIM(_xlfn.REGEXEXTRACT(AK60,"(\d.+[%]?$|[0-9]|[A-Z]+$)")),"")</f>
        <v/>
      </c>
      <c r="AN60" s="71" t="str">
        <f>IFERROR(VLOOKUP(AL60,'사용자가 입력할 시트'!$AF$2:$AG$60,2,FALSE),AL60)</f>
        <v>≪모모톡_イズナ≫</v>
      </c>
      <c r="AO60" s="72" t="str">
        <f t="array" ref="AO60">IFERROR(TRIM(_xlfn.REGEXEXTRACT(AM60,"(\d+[%]?$|[A-Z]+$)")),"")</f>
        <v/>
      </c>
      <c r="AP60" s="67" t="s">
        <v>180</v>
      </c>
      <c r="AQ60" s="70" t="str">
        <f t="shared" si="15"/>
        <v>≪모모톡_イズナ≫</v>
      </c>
      <c r="AR60" s="70" t="str">
        <f t="array" ref="AR60">IFERROR(TRIM(_xlfn.REGEXEXTRACT(AP60,"(\d.+[%]?$|[0-9]|[A-Z]+$)")),"")</f>
        <v/>
      </c>
      <c r="AS60" s="71" t="str">
        <f>IFERROR(VLOOKUP(AQ60,'사용자가 입력할 시트'!$AF$2:$AG$60,2,FALSE),AQ60)</f>
        <v>≪모모톡_イズナ≫</v>
      </c>
      <c r="AT60" s="72" t="str">
        <f t="array" ref="AT60">IFERROR(TRIM(_xlfn.REGEXEXTRACT(AR60,"(\d+[%]?$|[A-Z]+$)")),"")</f>
        <v/>
      </c>
      <c r="AU60" s="67" t="s">
        <v>138</v>
      </c>
      <c r="AV60" s="70" t="str">
        <f t="shared" si="16"/>
        <v>≪모모톡B≫</v>
      </c>
      <c r="AW60" s="70" t="str">
        <f t="array" ref="AW60">IFERROR(TRIM(_xlfn.REGEXEXTRACT(AU60,"(\d.+[%]?$|[0-9]|[A-Z]+$)")),"")</f>
        <v/>
      </c>
      <c r="AX60" s="71" t="str">
        <f>IFERROR(VLOOKUP(AV60,'사용자가 입력할 시트'!$AF$2:$AG$60,2,FALSE),AV60)</f>
        <v>≪모모톡B≫</v>
      </c>
      <c r="AY60" s="72" t="str">
        <f t="array" ref="AY60">IFERROR(TRIM(_xlfn.REGEXEXTRACT(AW60,"(\d+[%]?$|[A-Z]+$)")),"")</f>
        <v/>
      </c>
      <c r="AZ60" s="67" t="s">
        <v>138</v>
      </c>
      <c r="BA60" s="70" t="str">
        <f t="shared" si="17"/>
        <v>≪모모톡B≫</v>
      </c>
      <c r="BB60" s="70" t="str">
        <f t="array" ref="BB60">IFERROR(TRIM(_xlfn.REGEXEXTRACT(AZ60,"(\d.+[%]?$|[0-9]|[A-Z]+$)")),"")</f>
        <v/>
      </c>
      <c r="BC60" s="71" t="str">
        <f>IFERROR(VLOOKUP(BA60,'사용자가 입력할 시트'!$AF$2:$AG$60,2,FALSE),BA60)</f>
        <v>≪모모톡B≫</v>
      </c>
      <c r="BD60" s="72" t="str">
        <f t="array" ref="BD60">IFERROR(TRIM(_xlfn.REGEXEXTRACT(BB60,"(\d+[%]?$|[A-Z]+$)")),"")</f>
        <v/>
      </c>
      <c r="BE60" s="67" t="s">
        <v>138</v>
      </c>
      <c r="BF60" s="70" t="str">
        <f t="shared" si="18"/>
        <v>≪모모톡B≫</v>
      </c>
      <c r="BG60" s="70" t="str">
        <f t="array" ref="BG60">IFERROR(TRIM(_xlfn.REGEXEXTRACT(BE60,"(\d.+[%]?$|[0-9]|[A-Z]+$)")),"")</f>
        <v/>
      </c>
      <c r="BH60" s="71" t="str">
        <f>IFERROR(VLOOKUP(BF60,'사용자가 입력할 시트'!$AF$2:$AG$60,2,FALSE),BF60)</f>
        <v>≪모모톡B≫</v>
      </c>
      <c r="BI60" s="72" t="str">
        <f t="array" ref="BI60">IFERROR(TRIM(_xlfn.REGEXEXTRACT(BG60,"(\d+[%]?$|[A-Z]+$)")),"")</f>
        <v/>
      </c>
      <c r="BJ60" s="67" t="s">
        <v>138</v>
      </c>
      <c r="BK60" s="70" t="str">
        <f t="shared" si="19"/>
        <v>≪모모톡B≫</v>
      </c>
      <c r="BL60" s="70" t="str">
        <f t="array" ref="BL60">IFERROR(TRIM(_xlfn.REGEXEXTRACT(BJ60,"(\d.+[%]?$|[0-9]|[A-Z]+$)")),"")</f>
        <v/>
      </c>
      <c r="BM60" s="71" t="str">
        <f>IFERROR(VLOOKUP(BK60,'사용자가 입력할 시트'!$AF$2:$AG$60,2,FALSE),BK60)</f>
        <v>≪모모톡B≫</v>
      </c>
      <c r="BN60" s="72" t="str">
        <f t="array" ref="BN60">IFERROR(TRIM(_xlfn.REGEXEXTRACT(BL60,"(\d+[%]?$|[A-Z]+$)")),"")</f>
        <v/>
      </c>
      <c r="BO60" s="67" t="s">
        <v>138</v>
      </c>
      <c r="BP60" s="70" t="str">
        <f t="shared" si="20"/>
        <v>≪모모톡B≫</v>
      </c>
      <c r="BQ60" s="70" t="str">
        <f t="array" ref="BQ60">IFERROR(TRIM(_xlfn.REGEXEXTRACT(BO60,"(\d.+[%]?$|[0-9]|[A-Z]+$)")),"")</f>
        <v/>
      </c>
      <c r="BR60" s="71" t="str">
        <f>IFERROR(VLOOKUP(BP60,'사용자가 입력할 시트'!$AF$2:$AG$60,2,FALSE),BP60)</f>
        <v>≪모모톡B≫</v>
      </c>
      <c r="BS60" s="72" t="str">
        <f t="array" ref="BS60">IFERROR(TRIM(_xlfn.REGEXEXTRACT(BQ60,"(\d+[%]?$|[A-Z]+$)")),"")</f>
        <v/>
      </c>
      <c r="BT60" s="67" t="s">
        <v>138</v>
      </c>
      <c r="BU60" s="70" t="str">
        <f t="shared" si="21"/>
        <v>≪모모톡B≫</v>
      </c>
      <c r="BV60" s="70" t="str">
        <f t="array" ref="BV60">IFERROR(TRIM(_xlfn.REGEXEXTRACT(BT60,"(\d.+[%]?$|[0-9]|[A-Z]+$)")),"")</f>
        <v/>
      </c>
      <c r="BW60" s="71" t="str">
        <f>IFERROR(VLOOKUP(BU60,'사용자가 입력할 시트'!$AF$2:$AG$60,2,FALSE),BU60)</f>
        <v>≪모모톡B≫</v>
      </c>
      <c r="BX60" s="72" t="str">
        <f t="array" ref="BX60">IFERROR(TRIM(_xlfn.REGEXEXTRACT(BV60,"(\d+[%]?$|[A-Z]+$)")),"")</f>
        <v/>
      </c>
      <c r="BY60" s="67" t="s">
        <v>172</v>
      </c>
      <c r="BZ60" s="70" t="str">
        <f>IF(ISNUMBER(SEARCH("≪",BY60)),BY60,TRIM(SUBSTITUTE(BY60,CA60,"",1)))</f>
        <v>≪모모톡_학생 이름≫</v>
      </c>
      <c r="CA60" s="70" t="str">
        <f t="array" ref="CA60">IFERROR(TRIM(_xlfn.REGEXEXTRACT(BY60,"(\d.+[%]?$|[0-9]|[A-Z]+$)")),"")</f>
        <v/>
      </c>
      <c r="CB60" s="71" t="str">
        <f>IFERROR(VLOOKUP(BZ60,'사용자가 입력할 시트'!$AF$2:$AG$60,2,FALSE),BZ60)</f>
        <v>≪모모톡_학생 이름≫</v>
      </c>
      <c r="CC60" s="72" t="str">
        <f t="array" ref="CC60">IFERROR(TRIM(_xlfn.REGEXEXTRACT(CA60,"(\d+[%]?$|[A-Z]+$)")),"")</f>
        <v/>
      </c>
    </row>
    <row r="61" spans="2:81" s="4" customFormat="1" ht="16.5" customHeight="1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 t="str">
        <f t="shared" ca="1" si="10"/>
        <v/>
      </c>
      <c r="X61" s="2" t="str">
        <f t="shared" ca="1" si="11"/>
        <v/>
      </c>
      <c r="Y61" s="2" t="str">
        <f t="shared" ca="1" si="12"/>
        <v/>
      </c>
      <c r="Z61" s="42" t="str">
        <f t="shared" ref="Z61" ca="1" si="75">IF(Y59="","",$Y$4&amp;" :"&amp;Y59&amp;IF(Y59=Y60,"","("&amp;Y60&amp;")"))</f>
        <v>야외 :B()</v>
      </c>
      <c r="AC61" s="4" t="s">
        <v>185</v>
      </c>
      <c r="AD61" s="4" t="str">
        <f>_xlfn.LET(_xlpm.titleCell, MATCH($AC$61, CB:CB, 0),_xlpm.nextTitleCell, IFERROR(_xlfn.AGGREGATE(15, 6, ROW($CB$2:$CB$100)/(LEFT($CB$2:$CB$100,1)="≪")/(ROW($CB$2:$CB$100)&gt;_xlpm.titleCell), 1), ROWS(CB:CB)+1),_xlpm.startRow, _xlpm.titleCell + 1,_xlpm.endRow, _xlpm.nextTitleCell - 1,_xlpm.colStart, COLUMN($CB$2),_xlpm.colEnd, _xlpm.colStart + 1,ADDRESS(_xlpm.startRow, _xlpm.colStart) &amp; ":" &amp; ADDRESS(_xlpm.endRow, _xlpm.colEnd))</f>
        <v>$CB$27:$CC$29</v>
      </c>
      <c r="AE61" s="1"/>
      <c r="AF61" s="67" t="s">
        <v>143</v>
      </c>
      <c r="AG61" s="70" t="str">
        <f t="shared" si="13"/>
        <v>攻撃力</v>
      </c>
      <c r="AH61" s="70" t="str">
        <f t="array" ref="AH61">IFERROR(TRIM(_xlfn.REGEXEXTRACT(AF61,"(\d.+[%]?$|[0-9]|[A-Z]+$)")),"")</f>
        <v>2107</v>
      </c>
      <c r="AI61" s="71" t="str">
        <f>IFERROR(VLOOKUP(AG61,'사용자가 입력할 시트'!$AF$2:$AG$60,2,FALSE),AG61)</f>
        <v>공격력</v>
      </c>
      <c r="AJ61" s="72" t="str">
        <f t="array" ref="AJ61">IFERROR(TRIM(_xlfn.REGEXEXTRACT(AH61,"(\d+[%]?$|[A-Z]+$)")),"")</f>
        <v>2107</v>
      </c>
      <c r="AK61" s="67" t="s">
        <v>143</v>
      </c>
      <c r="AL61" s="70" t="str">
        <f t="shared" si="14"/>
        <v>攻撃力</v>
      </c>
      <c r="AM61" s="70" t="str">
        <f t="array" ref="AM61">IFERROR(TRIM(_xlfn.REGEXEXTRACT(AK61,"(\d.+[%]?$|[0-9]|[A-Z]+$)")),"")</f>
        <v>2107</v>
      </c>
      <c r="AN61" s="71" t="str">
        <f>IFERROR(VLOOKUP(AL61,'사용자가 입력할 시트'!$AF$2:$AG$60,2,FALSE),AL61)</f>
        <v>공격력</v>
      </c>
      <c r="AO61" s="72" t="str">
        <f t="array" ref="AO61">IFERROR(TRIM(_xlfn.REGEXEXTRACT(AM61,"(\d+[%]?$|[A-Z]+$)")),"")</f>
        <v>2107</v>
      </c>
      <c r="AP61" s="67" t="s">
        <v>143</v>
      </c>
      <c r="AQ61" s="70" t="str">
        <f t="shared" si="15"/>
        <v>攻撃力</v>
      </c>
      <c r="AR61" s="70" t="str">
        <f t="array" ref="AR61">IFERROR(TRIM(_xlfn.REGEXEXTRACT(AP61,"(\d.+[%]?$|[0-9]|[A-Z]+$)")),"")</f>
        <v>2107</v>
      </c>
      <c r="AS61" s="71" t="str">
        <f>IFERROR(VLOOKUP(AQ61,'사용자가 입력할 시트'!$AF$2:$AG$60,2,FALSE),AQ61)</f>
        <v>공격력</v>
      </c>
      <c r="AT61" s="72" t="str">
        <f t="array" ref="AT61">IFERROR(TRIM(_xlfn.REGEXEXTRACT(AR61,"(\d+[%]?$|[A-Z]+$)")),"")</f>
        <v>2107</v>
      </c>
      <c r="AU61" s="67" t="s">
        <v>143</v>
      </c>
      <c r="AV61" s="70" t="str">
        <f t="shared" si="16"/>
        <v>攻撃力</v>
      </c>
      <c r="AW61" s="70" t="str">
        <f t="array" ref="AW61">IFERROR(TRIM(_xlfn.REGEXEXTRACT(AU61,"(\d.+[%]?$|[0-9]|[A-Z]+$)")),"")</f>
        <v>2107</v>
      </c>
      <c r="AX61" s="71" t="str">
        <f>IFERROR(VLOOKUP(AV61,'사용자가 입력할 시트'!$AF$2:$AG$60,2,FALSE),AV61)</f>
        <v>공격력</v>
      </c>
      <c r="AY61" s="72" t="str">
        <f t="array" ref="AY61">IFERROR(TRIM(_xlfn.REGEXEXTRACT(AW61,"(\d+[%]?$|[A-Z]+$)")),"")</f>
        <v>2107</v>
      </c>
      <c r="AZ61" s="67" t="s">
        <v>143</v>
      </c>
      <c r="BA61" s="70" t="str">
        <f t="shared" si="17"/>
        <v>攻撃力</v>
      </c>
      <c r="BB61" s="70" t="str">
        <f t="array" ref="BB61">IFERROR(TRIM(_xlfn.REGEXEXTRACT(AZ61,"(\d.+[%]?$|[0-9]|[A-Z]+$)")),"")</f>
        <v>2107</v>
      </c>
      <c r="BC61" s="71" t="str">
        <f>IFERROR(VLOOKUP(BA61,'사용자가 입력할 시트'!$AF$2:$AG$60,2,FALSE),BA61)</f>
        <v>공격력</v>
      </c>
      <c r="BD61" s="72" t="str">
        <f t="array" ref="BD61">IFERROR(TRIM(_xlfn.REGEXEXTRACT(BB61,"(\d+[%]?$|[A-Z]+$)")),"")</f>
        <v>2107</v>
      </c>
      <c r="BE61" s="67" t="s">
        <v>143</v>
      </c>
      <c r="BF61" s="70" t="str">
        <f t="shared" si="18"/>
        <v>攻撃力</v>
      </c>
      <c r="BG61" s="70" t="str">
        <f t="array" ref="BG61">IFERROR(TRIM(_xlfn.REGEXEXTRACT(BE61,"(\d.+[%]?$|[0-9]|[A-Z]+$)")),"")</f>
        <v>2107</v>
      </c>
      <c r="BH61" s="71" t="str">
        <f>IFERROR(VLOOKUP(BF61,'사용자가 입력할 시트'!$AF$2:$AG$60,2,FALSE),BF61)</f>
        <v>공격력</v>
      </c>
      <c r="BI61" s="72" t="str">
        <f t="array" ref="BI61">IFERROR(TRIM(_xlfn.REGEXEXTRACT(BG61,"(\d+[%]?$|[A-Z]+$)")),"")</f>
        <v>2107</v>
      </c>
      <c r="BJ61" s="67" t="s">
        <v>143</v>
      </c>
      <c r="BK61" s="70" t="str">
        <f t="shared" si="19"/>
        <v>攻撃力</v>
      </c>
      <c r="BL61" s="70" t="str">
        <f t="array" ref="BL61">IFERROR(TRIM(_xlfn.REGEXEXTRACT(BJ61,"(\d.+[%]?$|[0-9]|[A-Z]+$)")),"")</f>
        <v>2107</v>
      </c>
      <c r="BM61" s="71" t="str">
        <f>IFERROR(VLOOKUP(BK61,'사용자가 입력할 시트'!$AF$2:$AG$60,2,FALSE),BK61)</f>
        <v>공격력</v>
      </c>
      <c r="BN61" s="72" t="str">
        <f t="array" ref="BN61">IFERROR(TRIM(_xlfn.REGEXEXTRACT(BL61,"(\d+[%]?$|[A-Z]+$)")),"")</f>
        <v>2107</v>
      </c>
      <c r="BO61" s="67" t="s">
        <v>143</v>
      </c>
      <c r="BP61" s="70" t="str">
        <f t="shared" si="20"/>
        <v>攻撃力</v>
      </c>
      <c r="BQ61" s="70" t="str">
        <f t="array" ref="BQ61">IFERROR(TRIM(_xlfn.REGEXEXTRACT(BO61,"(\d.+[%]?$|[0-9]|[A-Z]+$)")),"")</f>
        <v>2107</v>
      </c>
      <c r="BR61" s="71" t="str">
        <f>IFERROR(VLOOKUP(BP61,'사용자가 입력할 시트'!$AF$2:$AG$60,2,FALSE),BP61)</f>
        <v>공격력</v>
      </c>
      <c r="BS61" s="72" t="str">
        <f t="array" ref="BS61">IFERROR(TRIM(_xlfn.REGEXEXTRACT(BQ61,"(\d+[%]?$|[A-Z]+$)")),"")</f>
        <v>2107</v>
      </c>
      <c r="BT61" s="67" t="s">
        <v>143</v>
      </c>
      <c r="BU61" s="70" t="str">
        <f t="shared" si="21"/>
        <v>攻撃力</v>
      </c>
      <c r="BV61" s="70" t="str">
        <f t="array" ref="BV61">IFERROR(TRIM(_xlfn.REGEXEXTRACT(BT61,"(\d.+[%]?$|[0-9]|[A-Z]+$)")),"")</f>
        <v>2107</v>
      </c>
      <c r="BW61" s="71" t="str">
        <f>IFERROR(VLOOKUP(BU61,'사용자가 입력할 시트'!$AF$2:$AG$60,2,FALSE),BU61)</f>
        <v>공격력</v>
      </c>
      <c r="BX61" s="72" t="str">
        <f t="array" ref="BX61">IFERROR(TRIM(_xlfn.REGEXEXTRACT(BV61,"(\d+[%]?$|[A-Z]+$)")),"")</f>
        <v>2107</v>
      </c>
      <c r="BY61" s="67" t="s">
        <v>143</v>
      </c>
      <c r="BZ61" s="70" t="str">
        <f t="shared" si="22"/>
        <v>攻撃力</v>
      </c>
      <c r="CA61" s="70" t="str">
        <f t="array" ref="CA61">IFERROR(TRIM(_xlfn.REGEXEXTRACT(BY61,"(\d.+[%]?$|[0-9]|[A-Z]+$)")),"")</f>
        <v>2107</v>
      </c>
      <c r="CB61" s="71" t="str">
        <f>IFERROR(VLOOKUP(BZ61,'사용자가 입력할 시트'!$AF$2:$AG$60,2,FALSE),BZ61)</f>
        <v>공격력</v>
      </c>
      <c r="CC61" s="72" t="str">
        <f t="array" ref="CC61">IFERROR(TRIM(_xlfn.REGEXEXTRACT(CA61,"(\d+[%]?$|[A-Z]+$)")),"")</f>
        <v>2107</v>
      </c>
    </row>
    <row r="62" spans="2:81">
      <c r="B62" s="2" t="s">
        <v>171</v>
      </c>
      <c r="C62" s="2" t="s">
        <v>24</v>
      </c>
      <c r="W62" s="2" t="str">
        <f t="shared" ca="1" si="10"/>
        <v>SS</v>
      </c>
      <c r="X62" s="2" t="str">
        <f t="shared" ca="1" si="11"/>
        <v>D</v>
      </c>
      <c r="Y62" s="2" t="str">
        <f t="shared" ca="1" si="12"/>
        <v>B</v>
      </c>
      <c r="Z62" s="42" t="str">
        <f t="shared" ref="Z62" ca="1" si="76">IF(W62="","",$W$4&amp;" :"&amp;W62&amp;IF(W62=W63,"","("&amp;W63&amp;")"))</f>
        <v>시가 :SS()</v>
      </c>
      <c r="AC62" s="4" t="s">
        <v>186</v>
      </c>
      <c r="AD62" s="4" t="str">
        <f>_xlfn.LET(_xlpm.titleCell, MATCH($AC$62, CB:CB, 0),_xlpm.nextTitleCell, IFERROR(_xlfn.AGGREGATE(15, 6, ROW($CB$2:$CB$100)/(LEFT($CB$2:$CB$100,1)="≪")/(ROW($CB$2:$CB$100)&gt;_xlpm.titleCell), 1), ROWS(CB:CB)+1),_xlpm.startRow, _xlpm.titleCell + 1,_xlpm.endRow, _xlpm.nextTitleCell - 1,_xlpm.colStart, COLUMN($CB$2),_xlpm.colEnd, _xlpm.colStart + 1,ADDRESS(_xlpm.startRow, _xlpm.colStart) &amp; ":" &amp; ADDRESS(_xlpm.endRow, _xlpm.colEnd))</f>
        <v>$CB$31:$CC$34</v>
      </c>
      <c r="AF62" s="67" t="s">
        <v>136</v>
      </c>
      <c r="AG62" s="70" t="str">
        <f t="shared" si="13"/>
        <v>最大HP</v>
      </c>
      <c r="AH62" s="70" t="str">
        <f t="array" ref="AH62">IFERROR(TRIM(_xlfn.REGEXEXTRACT(AF62,"(\d.+[%]?$|[0-9]|[A-Z]+$)")),"")</f>
        <v>9470</v>
      </c>
      <c r="AI62" s="71" t="str">
        <f>IFERROR(VLOOKUP(AG62,'사용자가 입력할 시트'!$AF$2:$AG$60,2,FALSE),AG62)</f>
        <v>체력</v>
      </c>
      <c r="AJ62" s="72" t="str">
        <f t="array" ref="AJ62">IFERROR(TRIM(_xlfn.REGEXEXTRACT(AH62,"(\d+[%]?$|[A-Z]+$)")),"")</f>
        <v>9470</v>
      </c>
      <c r="AK62" s="67" t="s">
        <v>136</v>
      </c>
      <c r="AL62" s="70" t="str">
        <f t="shared" si="14"/>
        <v>最大HP</v>
      </c>
      <c r="AM62" s="70" t="str">
        <f t="array" ref="AM62">IFERROR(TRIM(_xlfn.REGEXEXTRACT(AK62,"(\d.+[%]?$|[0-9]|[A-Z]+$)")),"")</f>
        <v>9470</v>
      </c>
      <c r="AN62" s="71" t="str">
        <f>IFERROR(VLOOKUP(AL62,'사용자가 입력할 시트'!$AF$2:$AG$60,2,FALSE),AL62)</f>
        <v>체력</v>
      </c>
      <c r="AO62" s="72" t="str">
        <f t="array" ref="AO62">IFERROR(TRIM(_xlfn.REGEXEXTRACT(AM62,"(\d+[%]?$|[A-Z]+$)")),"")</f>
        <v>9470</v>
      </c>
      <c r="AP62" s="67" t="s">
        <v>136</v>
      </c>
      <c r="AQ62" s="70" t="str">
        <f t="shared" si="15"/>
        <v>最大HP</v>
      </c>
      <c r="AR62" s="70" t="str">
        <f t="array" ref="AR62">IFERROR(TRIM(_xlfn.REGEXEXTRACT(AP62,"(\d.+[%]?$|[0-9]|[A-Z]+$)")),"")</f>
        <v>9470</v>
      </c>
      <c r="AS62" s="71" t="str">
        <f>IFERROR(VLOOKUP(AQ62,'사용자가 입력할 시트'!$AF$2:$AG$60,2,FALSE),AQ62)</f>
        <v>체력</v>
      </c>
      <c r="AT62" s="72" t="str">
        <f t="array" ref="AT62">IFERROR(TRIM(_xlfn.REGEXEXTRACT(AR62,"(\d+[%]?$|[A-Z]+$)")),"")</f>
        <v>9470</v>
      </c>
      <c r="AU62" s="67" t="s">
        <v>136</v>
      </c>
      <c r="AV62" s="70" t="str">
        <f t="shared" si="16"/>
        <v>最大HP</v>
      </c>
      <c r="AW62" s="70" t="str">
        <f t="array" ref="AW62">IFERROR(TRIM(_xlfn.REGEXEXTRACT(AU62,"(\d.+[%]?$|[0-9]|[A-Z]+$)")),"")</f>
        <v>9470</v>
      </c>
      <c r="AX62" s="71" t="str">
        <f>IFERROR(VLOOKUP(AV62,'사용자가 입력할 시트'!$AF$2:$AG$60,2,FALSE),AV62)</f>
        <v>체력</v>
      </c>
      <c r="AY62" s="72" t="str">
        <f t="array" ref="AY62">IFERROR(TRIM(_xlfn.REGEXEXTRACT(AW62,"(\d+[%]?$|[A-Z]+$)")),"")</f>
        <v>9470</v>
      </c>
      <c r="AZ62" s="67" t="s">
        <v>136</v>
      </c>
      <c r="BA62" s="70" t="str">
        <f t="shared" si="17"/>
        <v>最大HP</v>
      </c>
      <c r="BB62" s="70" t="str">
        <f t="array" ref="BB62">IFERROR(TRIM(_xlfn.REGEXEXTRACT(AZ62,"(\d.+[%]?$|[0-9]|[A-Z]+$)")),"")</f>
        <v>9470</v>
      </c>
      <c r="BC62" s="71" t="str">
        <f>IFERROR(VLOOKUP(BA62,'사용자가 입력할 시트'!$AF$2:$AG$60,2,FALSE),BA62)</f>
        <v>체력</v>
      </c>
      <c r="BD62" s="72" t="str">
        <f t="array" ref="BD62">IFERROR(TRIM(_xlfn.REGEXEXTRACT(BB62,"(\d+[%]?$|[A-Z]+$)")),"")</f>
        <v>9470</v>
      </c>
      <c r="BE62" s="67" t="s">
        <v>136</v>
      </c>
      <c r="BF62" s="70" t="str">
        <f t="shared" si="18"/>
        <v>最大HP</v>
      </c>
      <c r="BG62" s="70" t="str">
        <f t="array" ref="BG62">IFERROR(TRIM(_xlfn.REGEXEXTRACT(BE62,"(\d.+[%]?$|[0-9]|[A-Z]+$)")),"")</f>
        <v>9470</v>
      </c>
      <c r="BH62" s="71" t="str">
        <f>IFERROR(VLOOKUP(BF62,'사용자가 입력할 시트'!$AF$2:$AG$60,2,FALSE),BF62)</f>
        <v>체력</v>
      </c>
      <c r="BI62" s="72" t="str">
        <f t="array" ref="BI62">IFERROR(TRIM(_xlfn.REGEXEXTRACT(BG62,"(\d+[%]?$|[A-Z]+$)")),"")</f>
        <v>9470</v>
      </c>
      <c r="BJ62" s="67" t="s">
        <v>136</v>
      </c>
      <c r="BK62" s="70" t="str">
        <f t="shared" si="19"/>
        <v>最大HP</v>
      </c>
      <c r="BL62" s="70" t="str">
        <f t="array" ref="BL62">IFERROR(TRIM(_xlfn.REGEXEXTRACT(BJ62,"(\d.+[%]?$|[0-9]|[A-Z]+$)")),"")</f>
        <v>9470</v>
      </c>
      <c r="BM62" s="71" t="str">
        <f>IFERROR(VLOOKUP(BK62,'사용자가 입력할 시트'!$AF$2:$AG$60,2,FALSE),BK62)</f>
        <v>체력</v>
      </c>
      <c r="BN62" s="72" t="str">
        <f t="array" ref="BN62">IFERROR(TRIM(_xlfn.REGEXEXTRACT(BL62,"(\d+[%]?$|[A-Z]+$)")),"")</f>
        <v>9470</v>
      </c>
      <c r="BO62" s="67" t="s">
        <v>136</v>
      </c>
      <c r="BP62" s="70" t="str">
        <f t="shared" si="20"/>
        <v>最大HP</v>
      </c>
      <c r="BQ62" s="70" t="str">
        <f t="array" ref="BQ62">IFERROR(TRIM(_xlfn.REGEXEXTRACT(BO62,"(\d.+[%]?$|[0-9]|[A-Z]+$)")),"")</f>
        <v>9470</v>
      </c>
      <c r="BR62" s="71" t="str">
        <f>IFERROR(VLOOKUP(BP62,'사용자가 입력할 시트'!$AF$2:$AG$60,2,FALSE),BP62)</f>
        <v>체력</v>
      </c>
      <c r="BS62" s="72" t="str">
        <f t="array" ref="BS62">IFERROR(TRIM(_xlfn.REGEXEXTRACT(BQ62,"(\d+[%]?$|[A-Z]+$)")),"")</f>
        <v>9470</v>
      </c>
      <c r="BT62" s="67" t="s">
        <v>136</v>
      </c>
      <c r="BU62" s="70" t="str">
        <f t="shared" si="21"/>
        <v>最大HP</v>
      </c>
      <c r="BV62" s="70" t="str">
        <f t="array" ref="BV62">IFERROR(TRIM(_xlfn.REGEXEXTRACT(BT62,"(\d.+[%]?$|[0-9]|[A-Z]+$)")),"")</f>
        <v>9470</v>
      </c>
      <c r="BW62" s="71" t="str">
        <f>IFERROR(VLOOKUP(BU62,'사용자가 입력할 시트'!$AF$2:$AG$60,2,FALSE),BU62)</f>
        <v>체력</v>
      </c>
      <c r="BX62" s="72" t="str">
        <f t="array" ref="BX62">IFERROR(TRIM(_xlfn.REGEXEXTRACT(BV62,"(\d+[%]?$|[A-Z]+$)")),"")</f>
        <v>9470</v>
      </c>
      <c r="BY62" s="67" t="s">
        <v>136</v>
      </c>
      <c r="BZ62" s="70" t="str">
        <f t="shared" si="22"/>
        <v>最大HP</v>
      </c>
      <c r="CA62" s="70" t="str">
        <f t="array" ref="CA62">IFERROR(TRIM(_xlfn.REGEXEXTRACT(BY62,"(\d.+[%]?$|[0-9]|[A-Z]+$)")),"")</f>
        <v>9470</v>
      </c>
      <c r="CB62" s="71" t="str">
        <f>IFERROR(VLOOKUP(BZ62,'사용자가 입력할 시트'!$AF$2:$AG$60,2,FALSE),BZ62)</f>
        <v>체력</v>
      </c>
      <c r="CC62" s="72" t="str">
        <f t="array" ref="CC62">IFERROR(TRIM(_xlfn.REGEXEXTRACT(CA62,"(\d+[%]?$|[A-Z]+$)")),"")</f>
        <v>9470</v>
      </c>
    </row>
    <row r="63" spans="2:81" s="4" customFormat="1" ht="16.5" customHeight="1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 t="str">
        <f t="shared" ca="1" si="10"/>
        <v/>
      </c>
      <c r="X63" s="2" t="str">
        <f t="shared" ca="1" si="11"/>
        <v/>
      </c>
      <c r="Y63" s="2" t="str">
        <f t="shared" ca="1" si="12"/>
        <v/>
      </c>
      <c r="Z63" s="42" t="str">
        <f t="shared" ref="Z63" ca="1" si="77">IF(X62="","",$X$4&amp;" :"&amp;X62&amp;IF(X62=X63,"","("&amp;X63&amp;")"))</f>
        <v>실내 :D()</v>
      </c>
      <c r="AC63" s="4" t="s">
        <v>184</v>
      </c>
      <c r="AD63" s="4" t="str">
        <f>_xlfn.LET(_xlpm.titleCell, MATCH($AC$63, CB:CB, 0),_xlpm.nextTitleCell, IFERROR(_xlfn.AGGREGATE(15, 6, ROW($CB$2:$CB$100)/(LEFT($CB$2:$CB$100,1)="≪")/(ROW($CB$2:$CB$100)&gt;_xlpm.titleCell), 1), ROWS(CB:CB)+1),_xlpm.startRow, _xlpm.titleCell + 1,_xlpm.endRow, _xlpm.nextTitleCell - 1,_xlpm.colStart, COLUMN($CB$2),_xlpm.colEnd, _xlpm.colStart + 1,ADDRESS(_xlpm.startRow, _xlpm.colStart) &amp; ":" &amp; ADDRESS(_xlpm.endRow, _xlpm.colEnd))</f>
        <v>$CB$36:$CC$55</v>
      </c>
      <c r="AE63" s="1"/>
      <c r="AF63" s="67"/>
      <c r="AG63" s="70" t="str">
        <f t="shared" si="13"/>
        <v/>
      </c>
      <c r="AH63" s="70" t="str">
        <f t="array" ref="AH63">IFERROR(TRIM(_xlfn.REGEXEXTRACT(AF63,"(\d.+[%]?$|[0-9]|[A-Z]+$)")),"")</f>
        <v/>
      </c>
      <c r="AI63" s="71" t="str">
        <f>IFERROR(VLOOKUP(AG63,'사용자가 입력할 시트'!$AF$2:$AG$60,2,FALSE),AG63)</f>
        <v/>
      </c>
      <c r="AJ63" s="72" t="str">
        <f t="array" ref="AJ63">IFERROR(TRIM(_xlfn.REGEXEXTRACT(AH63,"(\d+[%]?$|[A-Z]+$)")),"")</f>
        <v/>
      </c>
      <c r="AK63" s="67"/>
      <c r="AL63" s="70" t="str">
        <f t="shared" si="14"/>
        <v/>
      </c>
      <c r="AM63" s="70" t="str">
        <f t="array" ref="AM63">IFERROR(TRIM(_xlfn.REGEXEXTRACT(AK63,"(\d.+[%]?$|[0-9]|[A-Z]+$)")),"")</f>
        <v/>
      </c>
      <c r="AN63" s="71" t="str">
        <f>IFERROR(VLOOKUP(AL63,'사용자가 입력할 시트'!$AF$2:$AG$60,2,FALSE),AL63)</f>
        <v/>
      </c>
      <c r="AO63" s="72" t="str">
        <f t="array" ref="AO63">IFERROR(TRIM(_xlfn.REGEXEXTRACT(AM63,"(\d+[%]?$|[A-Z]+$)")),"")</f>
        <v/>
      </c>
      <c r="AP63" s="67"/>
      <c r="AQ63" s="70" t="str">
        <f t="shared" si="15"/>
        <v/>
      </c>
      <c r="AR63" s="70" t="str">
        <f t="array" ref="AR63">IFERROR(TRIM(_xlfn.REGEXEXTRACT(AP63,"(\d.+[%]?$|[0-9]|[A-Z]+$)")),"")</f>
        <v/>
      </c>
      <c r="AS63" s="71" t="str">
        <f>IFERROR(VLOOKUP(AQ63,'사용자가 입력할 시트'!$AF$2:$AG$60,2,FALSE),AQ63)</f>
        <v/>
      </c>
      <c r="AT63" s="72" t="str">
        <f t="array" ref="AT63">IFERROR(TRIM(_xlfn.REGEXEXTRACT(AR63,"(\d+[%]?$|[A-Z]+$)")),"")</f>
        <v/>
      </c>
      <c r="AU63" s="67"/>
      <c r="AV63" s="70" t="str">
        <f t="shared" si="16"/>
        <v/>
      </c>
      <c r="AW63" s="70" t="str">
        <f t="array" ref="AW63">IFERROR(TRIM(_xlfn.REGEXEXTRACT(AU63,"(\d.+[%]?$|[0-9]|[A-Z]+$)")),"")</f>
        <v/>
      </c>
      <c r="AX63" s="71" t="str">
        <f>IFERROR(VLOOKUP(AV63,'사용자가 입력할 시트'!$AF$2:$AG$60,2,FALSE),AV63)</f>
        <v/>
      </c>
      <c r="AY63" s="72" t="str">
        <f t="array" ref="AY63">IFERROR(TRIM(_xlfn.REGEXEXTRACT(AW63,"(\d+[%]?$|[A-Z]+$)")),"")</f>
        <v/>
      </c>
      <c r="AZ63" s="67"/>
      <c r="BA63" s="70" t="str">
        <f t="shared" si="17"/>
        <v/>
      </c>
      <c r="BB63" s="70" t="str">
        <f t="array" ref="BB63">IFERROR(TRIM(_xlfn.REGEXEXTRACT(AZ63,"(\d.+[%]?$|[0-9]|[A-Z]+$)")),"")</f>
        <v/>
      </c>
      <c r="BC63" s="71" t="str">
        <f>IFERROR(VLOOKUP(BA63,'사용자가 입력할 시트'!$AF$2:$AG$60,2,FALSE),BA63)</f>
        <v/>
      </c>
      <c r="BD63" s="72" t="str">
        <f t="array" ref="BD63">IFERROR(TRIM(_xlfn.REGEXEXTRACT(BB63,"(\d+[%]?$|[A-Z]+$)")),"")</f>
        <v/>
      </c>
      <c r="BE63" s="67"/>
      <c r="BF63" s="70" t="str">
        <f t="shared" si="18"/>
        <v/>
      </c>
      <c r="BG63" s="70" t="str">
        <f t="array" ref="BG63">IFERROR(TRIM(_xlfn.REGEXEXTRACT(BE63,"(\d.+[%]?$|[0-9]|[A-Z]+$)")),"")</f>
        <v/>
      </c>
      <c r="BH63" s="71" t="str">
        <f>IFERROR(VLOOKUP(BF63,'사용자가 입력할 시트'!$AF$2:$AG$60,2,FALSE),BF63)</f>
        <v/>
      </c>
      <c r="BI63" s="72" t="str">
        <f t="array" ref="BI63">IFERROR(TRIM(_xlfn.REGEXEXTRACT(BG63,"(\d+[%]?$|[A-Z]+$)")),"")</f>
        <v/>
      </c>
      <c r="BJ63" s="67"/>
      <c r="BK63" s="70" t="str">
        <f t="shared" si="19"/>
        <v/>
      </c>
      <c r="BL63" s="70" t="str">
        <f t="array" ref="BL63">IFERROR(TRIM(_xlfn.REGEXEXTRACT(BJ63,"(\d.+[%]?$|[0-9]|[A-Z]+$)")),"")</f>
        <v/>
      </c>
      <c r="BM63" s="71" t="str">
        <f>IFERROR(VLOOKUP(BK63,'사용자가 입력할 시트'!$AF$2:$AG$60,2,FALSE),BK63)</f>
        <v/>
      </c>
      <c r="BN63" s="72" t="str">
        <f t="array" ref="BN63">IFERROR(TRIM(_xlfn.REGEXEXTRACT(BL63,"(\d+[%]?$|[A-Z]+$)")),"")</f>
        <v/>
      </c>
      <c r="BO63" s="67"/>
      <c r="BP63" s="70" t="str">
        <f t="shared" si="20"/>
        <v/>
      </c>
      <c r="BQ63" s="70" t="str">
        <f t="array" ref="BQ63">IFERROR(TRIM(_xlfn.REGEXEXTRACT(BO63,"(\d.+[%]?$|[0-9]|[A-Z]+$)")),"")</f>
        <v/>
      </c>
      <c r="BR63" s="71" t="str">
        <f>IFERROR(VLOOKUP(BP63,'사용자가 입력할 시트'!$AF$2:$AG$60,2,FALSE),BP63)</f>
        <v/>
      </c>
      <c r="BS63" s="72" t="str">
        <f t="array" ref="BS63">IFERROR(TRIM(_xlfn.REGEXEXTRACT(BQ63,"(\d+[%]?$|[A-Z]+$)")),"")</f>
        <v/>
      </c>
      <c r="BT63" s="67"/>
      <c r="BU63" s="70" t="str">
        <f t="shared" si="21"/>
        <v/>
      </c>
      <c r="BV63" s="70" t="str">
        <f t="array" ref="BV63">IFERROR(TRIM(_xlfn.REGEXEXTRACT(BT63,"(\d.+[%]?$|[0-9]|[A-Z]+$)")),"")</f>
        <v/>
      </c>
      <c r="BW63" s="71" t="str">
        <f>IFERROR(VLOOKUP(BU63,'사용자가 입력할 시트'!$AF$2:$AG$60,2,FALSE),BU63)</f>
        <v/>
      </c>
      <c r="BX63" s="72" t="str">
        <f t="array" ref="BX63">IFERROR(TRIM(_xlfn.REGEXEXTRACT(BV63,"(\d+[%]?$|[A-Z]+$)")),"")</f>
        <v/>
      </c>
      <c r="BY63" s="67"/>
      <c r="BZ63" s="70" t="str">
        <f t="shared" si="22"/>
        <v/>
      </c>
      <c r="CA63" s="70" t="str">
        <f t="array" ref="CA63">IFERROR(TRIM(_xlfn.REGEXEXTRACT(BY63,"(\d.+[%]?$|[0-9]|[A-Z]+$)")),"")</f>
        <v/>
      </c>
      <c r="CB63" s="71" t="str">
        <f>IFERROR(VLOOKUP(BZ63,'사용자가 입력할 시트'!$AF$2:$AG$60,2,FALSE),BZ63)</f>
        <v/>
      </c>
      <c r="CC63" s="72" t="str">
        <f t="array" ref="CC63">IFERROR(TRIM(_xlfn.REGEXEXTRACT(CA63,"(\d+[%]?$|[A-Z]+$)")),"")</f>
        <v/>
      </c>
    </row>
    <row r="64" spans="2:81">
      <c r="C64" s="2" t="s">
        <v>173</v>
      </c>
      <c r="W64" s="2" t="str">
        <f t="shared" ca="1" si="10"/>
        <v/>
      </c>
      <c r="X64" s="2" t="str">
        <f t="shared" ca="1" si="11"/>
        <v/>
      </c>
      <c r="Y64" s="2" t="str">
        <f t="shared" ca="1" si="12"/>
        <v/>
      </c>
      <c r="Z64" s="42" t="str">
        <f t="shared" ref="Z64" ca="1" si="78">IF(Y62="","",$Y$4&amp;" :"&amp;Y62&amp;IF(Y62=Y63,"","("&amp;Y63&amp;")"))</f>
        <v>야외 :B()</v>
      </c>
      <c r="AC64" s="4" t="s">
        <v>192</v>
      </c>
      <c r="AD64" s="4" t="str">
        <f>_xlfn.LET(_xlpm.titleCell, MATCH($AC$64, CB:CB, 0),_xlpm.nextTitleCell, IFERROR(_xlfn.AGGREGATE(15, 6, ROW($CB$2:$CB$100)/(LEFT($CB$2:$CB$100,1)="≪")/(ROW($CB$2:$CB$100)&gt;_xlpm.titleCell), 1), ROWS(CB:CB)+1),_xlpm.startRow, _xlpm.titleCell + 1,_xlpm.endRow, _xlpm.nextTitleCell - 1,_xlpm.colStart, COLUMN($CB$2),_xlpm.colEnd, _xlpm.colStart + 1,ADDRESS(_xlpm.startRow, _xlpm.colStart) &amp; ":" &amp; ADDRESS(_xlpm.endRow, _xlpm.colEnd))</f>
        <v>$CB$57:$CC$59</v>
      </c>
      <c r="AF64" s="69" t="s">
        <v>144</v>
      </c>
      <c r="AG64" s="70" t="str">
        <f t="shared" si="13"/>
        <v>≪END≫</v>
      </c>
      <c r="AH64" s="70" t="str">
        <f t="array" ref="AH64">IFERROR(TRIM(_xlfn.REGEXEXTRACT(AF64,"(\d.+[%]?$|[0-9]|[A-Z]+$)")),"")</f>
        <v/>
      </c>
      <c r="AI64" s="71" t="str">
        <f>IFERROR(VLOOKUP(AG64,'사용자가 입력할 시트'!$AF$2:$AG$60,2,FALSE),AG64)</f>
        <v>≪END≫</v>
      </c>
      <c r="AJ64" s="72" t="str">
        <f t="array" ref="AJ64">IFERROR(TRIM(_xlfn.REGEXEXTRACT(AH64,"(\d+[%]?$|[A-Z]+$)")),"")</f>
        <v/>
      </c>
      <c r="AK64" s="69" t="s">
        <v>144</v>
      </c>
      <c r="AL64" s="70" t="str">
        <f t="shared" si="14"/>
        <v>≪END≫</v>
      </c>
      <c r="AM64" s="70" t="str">
        <f t="array" ref="AM64">IFERROR(TRIM(_xlfn.REGEXEXTRACT(AK64,"(\d.+[%]?$|[0-9]|[A-Z]+$)")),"")</f>
        <v/>
      </c>
      <c r="AN64" s="71" t="str">
        <f>IFERROR(VLOOKUP(AL64,'사용자가 입력할 시트'!$AF$2:$AG$60,2,FALSE),AL64)</f>
        <v>≪END≫</v>
      </c>
      <c r="AO64" s="72" t="str">
        <f t="array" ref="AO64">IFERROR(TRIM(_xlfn.REGEXEXTRACT(AM64,"(\d+[%]?$|[A-Z]+$)")),"")</f>
        <v/>
      </c>
      <c r="AP64" s="69" t="s">
        <v>144</v>
      </c>
      <c r="AQ64" s="70" t="str">
        <f t="shared" si="15"/>
        <v>≪END≫</v>
      </c>
      <c r="AR64" s="70" t="str">
        <f t="array" ref="AR64">IFERROR(TRIM(_xlfn.REGEXEXTRACT(AP64,"(\d.+[%]?$|[0-9]|[A-Z]+$)")),"")</f>
        <v/>
      </c>
      <c r="AS64" s="71" t="str">
        <f>IFERROR(VLOOKUP(AQ64,'사용자가 입력할 시트'!$AF$2:$AG$60,2,FALSE),AQ64)</f>
        <v>≪END≫</v>
      </c>
      <c r="AT64" s="72" t="str">
        <f t="array" ref="AT64">IFERROR(TRIM(_xlfn.REGEXEXTRACT(AR64,"(\d+[%]?$|[A-Z]+$)")),"")</f>
        <v/>
      </c>
      <c r="AU64" s="69" t="s">
        <v>144</v>
      </c>
      <c r="AV64" s="70" t="str">
        <f t="shared" si="16"/>
        <v>≪END≫</v>
      </c>
      <c r="AW64" s="70" t="str">
        <f t="array" ref="AW64">IFERROR(TRIM(_xlfn.REGEXEXTRACT(AU64,"(\d.+[%]?$|[0-9]|[A-Z]+$)")),"")</f>
        <v/>
      </c>
      <c r="AX64" s="71" t="str">
        <f>IFERROR(VLOOKUP(AV64,'사용자가 입력할 시트'!$AF$2:$AG$60,2,FALSE),AV64)</f>
        <v>≪END≫</v>
      </c>
      <c r="AY64" s="72" t="str">
        <f t="array" ref="AY64">IFERROR(TRIM(_xlfn.REGEXEXTRACT(AW64,"(\d+[%]?$|[A-Z]+$)")),"")</f>
        <v/>
      </c>
      <c r="AZ64" s="69" t="s">
        <v>144</v>
      </c>
      <c r="BA64" s="70" t="str">
        <f t="shared" si="17"/>
        <v>≪END≫</v>
      </c>
      <c r="BB64" s="70" t="str">
        <f t="array" ref="BB64">IFERROR(TRIM(_xlfn.REGEXEXTRACT(AZ64,"(\d.+[%]?$|[0-9]|[A-Z]+$)")),"")</f>
        <v/>
      </c>
      <c r="BC64" s="71" t="str">
        <f>IFERROR(VLOOKUP(BA64,'사용자가 입력할 시트'!$AF$2:$AG$60,2,FALSE),BA64)</f>
        <v>≪END≫</v>
      </c>
      <c r="BD64" s="72" t="str">
        <f t="array" ref="BD64">IFERROR(TRIM(_xlfn.REGEXEXTRACT(BB64,"(\d+[%]?$|[A-Z]+$)")),"")</f>
        <v/>
      </c>
      <c r="BE64" s="69" t="s">
        <v>144</v>
      </c>
      <c r="BF64" s="70" t="str">
        <f t="shared" si="18"/>
        <v>≪END≫</v>
      </c>
      <c r="BG64" s="70" t="str">
        <f t="array" ref="BG64">IFERROR(TRIM(_xlfn.REGEXEXTRACT(BE64,"(\d.+[%]?$|[0-9]|[A-Z]+$)")),"")</f>
        <v/>
      </c>
      <c r="BH64" s="71" t="str">
        <f>IFERROR(VLOOKUP(BF64,'사용자가 입력할 시트'!$AF$2:$AG$60,2,FALSE),BF64)</f>
        <v>≪END≫</v>
      </c>
      <c r="BI64" s="72" t="str">
        <f t="array" ref="BI64">IFERROR(TRIM(_xlfn.REGEXEXTRACT(BG64,"(\d+[%]?$|[A-Z]+$)")),"")</f>
        <v/>
      </c>
      <c r="BJ64" s="69" t="s">
        <v>144</v>
      </c>
      <c r="BK64" s="70" t="str">
        <f t="shared" si="19"/>
        <v>≪END≫</v>
      </c>
      <c r="BL64" s="70" t="str">
        <f t="array" ref="BL64">IFERROR(TRIM(_xlfn.REGEXEXTRACT(BJ64,"(\d.+[%]?$|[0-9]|[A-Z]+$)")),"")</f>
        <v/>
      </c>
      <c r="BM64" s="71" t="str">
        <f>IFERROR(VLOOKUP(BK64,'사용자가 입력할 시트'!$AF$2:$AG$60,2,FALSE),BK64)</f>
        <v>≪END≫</v>
      </c>
      <c r="BN64" s="72" t="str">
        <f t="array" ref="BN64">IFERROR(TRIM(_xlfn.REGEXEXTRACT(BL64,"(\d+[%]?$|[A-Z]+$)")),"")</f>
        <v/>
      </c>
      <c r="BO64" s="69" t="s">
        <v>144</v>
      </c>
      <c r="BP64" s="70" t="str">
        <f t="shared" si="20"/>
        <v>≪END≫</v>
      </c>
      <c r="BQ64" s="70" t="str">
        <f t="array" ref="BQ64">IFERROR(TRIM(_xlfn.REGEXEXTRACT(BO64,"(\d.+[%]?$|[0-9]|[A-Z]+$)")),"")</f>
        <v/>
      </c>
      <c r="BR64" s="71" t="str">
        <f>IFERROR(VLOOKUP(BP64,'사용자가 입력할 시트'!$AF$2:$AG$60,2,FALSE),BP64)</f>
        <v>≪END≫</v>
      </c>
      <c r="BS64" s="72" t="str">
        <f t="array" ref="BS64">IFERROR(TRIM(_xlfn.REGEXEXTRACT(BQ64,"(\d+[%]?$|[A-Z]+$)")),"")</f>
        <v/>
      </c>
      <c r="BT64" s="69" t="s">
        <v>144</v>
      </c>
      <c r="BU64" s="70" t="str">
        <f t="shared" si="21"/>
        <v>≪END≫</v>
      </c>
      <c r="BV64" s="70" t="str">
        <f t="array" ref="BV64">IFERROR(TRIM(_xlfn.REGEXEXTRACT(BT64,"(\d.+[%]?$|[0-9]|[A-Z]+$)")),"")</f>
        <v/>
      </c>
      <c r="BW64" s="71" t="str">
        <f>IFERROR(VLOOKUP(BU64,'사용자가 입력할 시트'!$AF$2:$AG$60,2,FALSE),BU64)</f>
        <v>≪END≫</v>
      </c>
      <c r="BX64" s="72" t="str">
        <f t="array" ref="BX64">IFERROR(TRIM(_xlfn.REGEXEXTRACT(BV64,"(\d+[%]?$|[A-Z]+$)")),"")</f>
        <v/>
      </c>
      <c r="BY64" s="69" t="s">
        <v>144</v>
      </c>
      <c r="BZ64" s="70" t="str">
        <f t="shared" si="22"/>
        <v>≪END≫</v>
      </c>
      <c r="CA64" s="70" t="str">
        <f t="array" ref="CA64">IFERROR(TRIM(_xlfn.REGEXEXTRACT(BY64,"(\d.+[%]?$|[0-9]|[A-Z]+$)")),"")</f>
        <v/>
      </c>
      <c r="CB64" s="71" t="str">
        <f>IFERROR(VLOOKUP(BZ64,'사용자가 입력할 시트'!$AF$2:$AG$60,2,FALSE),BZ64)</f>
        <v>≪END≫</v>
      </c>
      <c r="CC64" s="72" t="str">
        <f t="array" ref="CC64">IFERROR(TRIM(_xlfn.REGEXEXTRACT(CA64,"(\d+[%]?$|[A-Z]+$)")),"")</f>
        <v/>
      </c>
    </row>
    <row r="65" spans="2:81" s="4" customFormat="1" ht="24" customHeight="1">
      <c r="B65" s="2"/>
      <c r="C65" s="2" t="s">
        <v>174</v>
      </c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 t="str">
        <f t="shared" ca="1" si="10"/>
        <v/>
      </c>
      <c r="X65" s="2" t="str">
        <f t="shared" ca="1" si="11"/>
        <v/>
      </c>
      <c r="Y65" s="2" t="str">
        <f t="shared" ca="1" si="12"/>
        <v/>
      </c>
      <c r="Z65" s="42" t="str">
        <f t="shared" ref="Z65" ca="1" si="79">IF(W65="","",$W$4&amp;" :"&amp;W65&amp;IF(W65=W66,"","("&amp;W66&amp;")"))</f>
        <v/>
      </c>
      <c r="AC65" s="4" t="s">
        <v>172</v>
      </c>
      <c r="AD65" s="4" t="str">
        <f>_xlfn.LET(_xlpm.titleCell, MATCH($AC$65, CB:CB, 0),_xlpm.nextTitleCell, IFERROR(_xlfn.AGGREGATE(15, 6, ROW($CB$2:$CB$100)/(LEFT($CB$2:$CB$100,1)="≪")/(ROW($CB$2:$CB$100)&gt;_xlpm.titleCell), 1), ROWS(CB:CB)+1),_xlpm.startRow, _xlpm.titleCell + 1,_xlpm.endRow, _xlpm.nextTitleCell - 1,_xlpm.colStart, COLUMN($CB$2),_xlpm.colEnd, _xlpm.colStart + 1,ADDRESS(_xlpm.startRow, _xlpm.colStart) &amp; ":" &amp; ADDRESS(_xlpm.endRow, _xlpm.colEnd))</f>
        <v>$CB$61:$CC$63</v>
      </c>
      <c r="AE65" s="1"/>
      <c r="AF65" s="69"/>
      <c r="AG65" s="70" t="str">
        <f t="shared" si="13"/>
        <v/>
      </c>
      <c r="AH65" s="70" t="str">
        <f t="array" ref="AH65">IFERROR(TRIM(_xlfn.REGEXEXTRACT(AF65,"(\d.+[%]?$|[0-9]|[A-Z]+$)")),"")</f>
        <v/>
      </c>
      <c r="AI65" s="71" t="str">
        <f>IFERROR(VLOOKUP(AG65,'사용자가 입력할 시트'!$AF$2:$AG$60,2,FALSE),AG65)</f>
        <v/>
      </c>
      <c r="AJ65" s="72" t="str">
        <f t="array" ref="AJ65">IFERROR(TRIM(_xlfn.REGEXEXTRACT(AH65,"(\d+[%]?$|[A-Z]+$)")),"")</f>
        <v/>
      </c>
      <c r="AK65" s="69"/>
      <c r="AL65" s="70" t="str">
        <f t="shared" si="14"/>
        <v/>
      </c>
      <c r="AM65" s="70" t="str">
        <f t="array" ref="AM65">IFERROR(TRIM(_xlfn.REGEXEXTRACT(AK65,"(\d.+[%]?$|[0-9]|[A-Z]+$)")),"")</f>
        <v/>
      </c>
      <c r="AN65" s="71" t="str">
        <f>IFERROR(VLOOKUP(AL65,'사용자가 입력할 시트'!$AF$2:$AG$60,2,FALSE),AL65)</f>
        <v/>
      </c>
      <c r="AO65" s="72" t="str">
        <f t="array" ref="AO65">IFERROR(TRIM(_xlfn.REGEXEXTRACT(AM65,"(\d+[%]?$|[A-Z]+$)")),"")</f>
        <v/>
      </c>
      <c r="AP65" s="69"/>
      <c r="AQ65" s="70" t="str">
        <f t="shared" si="15"/>
        <v/>
      </c>
      <c r="AR65" s="70" t="str">
        <f t="array" ref="AR65">IFERROR(TRIM(_xlfn.REGEXEXTRACT(AP65,"(\d.+[%]?$|[0-9]|[A-Z]+$)")),"")</f>
        <v/>
      </c>
      <c r="AS65" s="71" t="str">
        <f>IFERROR(VLOOKUP(AQ65,'사용자가 입력할 시트'!$AF$2:$AG$60,2,FALSE),AQ65)</f>
        <v/>
      </c>
      <c r="AT65" s="72" t="str">
        <f t="array" ref="AT65">IFERROR(TRIM(_xlfn.REGEXEXTRACT(AR65,"(\d+[%]?$|[A-Z]+$)")),"")</f>
        <v/>
      </c>
      <c r="AU65" s="69"/>
      <c r="AV65" s="70" t="str">
        <f t="shared" si="16"/>
        <v/>
      </c>
      <c r="AW65" s="70" t="str">
        <f t="array" ref="AW65">IFERROR(TRIM(_xlfn.REGEXEXTRACT(AU65,"(\d.+[%]?$|[0-9]|[A-Z]+$)")),"")</f>
        <v/>
      </c>
      <c r="AX65" s="71" t="str">
        <f>IFERROR(VLOOKUP(AV65,'사용자가 입력할 시트'!$AF$2:$AG$60,2,FALSE),AV65)</f>
        <v/>
      </c>
      <c r="AY65" s="72" t="str">
        <f t="array" ref="AY65">IFERROR(TRIM(_xlfn.REGEXEXTRACT(AW65,"(\d+[%]?$|[A-Z]+$)")),"")</f>
        <v/>
      </c>
      <c r="AZ65" s="69"/>
      <c r="BA65" s="70" t="str">
        <f t="shared" si="17"/>
        <v/>
      </c>
      <c r="BB65" s="70" t="str">
        <f t="array" ref="BB65">IFERROR(TRIM(_xlfn.REGEXEXTRACT(AZ65,"(\d.+[%]?$|[0-9]|[A-Z]+$)")),"")</f>
        <v/>
      </c>
      <c r="BC65" s="71" t="str">
        <f>IFERROR(VLOOKUP(BA65,'사용자가 입력할 시트'!$AF$2:$AG$60,2,FALSE),BA65)</f>
        <v/>
      </c>
      <c r="BD65" s="72" t="str">
        <f t="array" ref="BD65">IFERROR(TRIM(_xlfn.REGEXEXTRACT(BB65,"(\d+[%]?$|[A-Z]+$)")),"")</f>
        <v/>
      </c>
      <c r="BE65" s="69"/>
      <c r="BF65" s="70" t="str">
        <f t="shared" si="18"/>
        <v/>
      </c>
      <c r="BG65" s="70" t="str">
        <f t="array" ref="BG65">IFERROR(TRIM(_xlfn.REGEXEXTRACT(BE65,"(\d.+[%]?$|[0-9]|[A-Z]+$)")),"")</f>
        <v/>
      </c>
      <c r="BH65" s="71" t="str">
        <f>IFERROR(VLOOKUP(BF65,'사용자가 입력할 시트'!$AF$2:$AG$60,2,FALSE),BF65)</f>
        <v/>
      </c>
      <c r="BI65" s="72" t="str">
        <f t="array" ref="BI65">IFERROR(TRIM(_xlfn.REGEXEXTRACT(BG65,"(\d+[%]?$|[A-Z]+$)")),"")</f>
        <v/>
      </c>
      <c r="BJ65" s="69"/>
      <c r="BK65" s="70" t="str">
        <f t="shared" si="19"/>
        <v/>
      </c>
      <c r="BL65" s="70" t="str">
        <f t="array" ref="BL65">IFERROR(TRIM(_xlfn.REGEXEXTRACT(BJ65,"(\d.+[%]?$|[0-9]|[A-Z]+$)")),"")</f>
        <v/>
      </c>
      <c r="BM65" s="71" t="str">
        <f>IFERROR(VLOOKUP(BK65,'사용자가 입력할 시트'!$AF$2:$AG$60,2,FALSE),BK65)</f>
        <v/>
      </c>
      <c r="BN65" s="72" t="str">
        <f t="array" ref="BN65">IFERROR(TRIM(_xlfn.REGEXEXTRACT(BL65,"(\d+[%]?$|[A-Z]+$)")),"")</f>
        <v/>
      </c>
      <c r="BO65" s="69"/>
      <c r="BP65" s="70" t="str">
        <f t="shared" si="20"/>
        <v/>
      </c>
      <c r="BQ65" s="70" t="str">
        <f t="array" ref="BQ65">IFERROR(TRIM(_xlfn.REGEXEXTRACT(BO65,"(\d.+[%]?$|[0-9]|[A-Z]+$)")),"")</f>
        <v/>
      </c>
      <c r="BR65" s="71" t="str">
        <f>IFERROR(VLOOKUP(BP65,'사용자가 입력할 시트'!$AF$2:$AG$60,2,FALSE),BP65)</f>
        <v/>
      </c>
      <c r="BS65" s="72" t="str">
        <f t="array" ref="BS65">IFERROR(TRIM(_xlfn.REGEXEXTRACT(BQ65,"(\d+[%]?$|[A-Z]+$)")),"")</f>
        <v/>
      </c>
      <c r="BT65" s="69"/>
      <c r="BU65" s="70" t="str">
        <f t="shared" si="21"/>
        <v/>
      </c>
      <c r="BV65" s="70" t="str">
        <f t="array" ref="BV65">IFERROR(TRIM(_xlfn.REGEXEXTRACT(BT65,"(\d.+[%]?$|[0-9]|[A-Z]+$)")),"")</f>
        <v/>
      </c>
      <c r="BW65" s="71" t="str">
        <f>IFERROR(VLOOKUP(BU65,'사용자가 입력할 시트'!$AF$2:$AG$60,2,FALSE),BU65)</f>
        <v/>
      </c>
      <c r="BX65" s="72" t="str">
        <f t="array" ref="BX65">IFERROR(TRIM(_xlfn.REGEXEXTRACT(BV65,"(\d+[%]?$|[A-Z]+$)")),"")</f>
        <v/>
      </c>
      <c r="BY65" s="69"/>
      <c r="BZ65" s="70" t="str">
        <f t="shared" si="22"/>
        <v/>
      </c>
      <c r="CA65" s="70" t="str">
        <f t="array" ref="CA65">IFERROR(TRIM(_xlfn.REGEXEXTRACT(BY65,"(\d.+[%]?$|[0-9]|[A-Z]+$)")),"")</f>
        <v/>
      </c>
      <c r="CB65" s="71" t="str">
        <f>IFERROR(VLOOKUP(BZ65,'사용자가 입력할 시트'!$AF$2:$AG$60,2,FALSE),BZ65)</f>
        <v/>
      </c>
      <c r="CC65" s="72" t="str">
        <f t="array" ref="CC65">IFERROR(TRIM(_xlfn.REGEXEXTRACT(CA65,"(\d+[%]?$|[A-Z]+$)")),"")</f>
        <v/>
      </c>
    </row>
    <row r="66" spans="2:81">
      <c r="W66" s="2" t="str">
        <f t="shared" ca="1" si="10"/>
        <v/>
      </c>
      <c r="X66" s="2" t="str">
        <f t="shared" ca="1" si="11"/>
        <v/>
      </c>
      <c r="Y66" s="2" t="str">
        <f t="shared" ca="1" si="12"/>
        <v/>
      </c>
      <c r="Z66" s="42" t="str">
        <f t="shared" ref="Z66" ca="1" si="80">IF(X65="","",$X$4&amp;" :"&amp;X65&amp;IF(X65=X66,"","("&amp;X66&amp;")"))</f>
        <v/>
      </c>
      <c r="AF66" s="69"/>
      <c r="AG66" s="70" t="str">
        <f t="shared" si="13"/>
        <v/>
      </c>
      <c r="AH66" s="70" t="str">
        <f t="array" ref="AH66">IFERROR(TRIM(_xlfn.REGEXEXTRACT(AF66,"(\d.+[%]?$|[0-9]|[A-Z]+$)")),"")</f>
        <v/>
      </c>
      <c r="AI66" s="71" t="str">
        <f>IFERROR(VLOOKUP(AG66,'사용자가 입력할 시트'!$AF$2:$AG$60,2,FALSE),AG66)</f>
        <v/>
      </c>
      <c r="AJ66" s="72" t="str">
        <f t="array" ref="AJ66">IFERROR(TRIM(_xlfn.REGEXEXTRACT(AH66,"(\d+[%]?$|[A-Z]+$)")),"")</f>
        <v/>
      </c>
      <c r="AK66" s="69"/>
      <c r="AL66" s="70" t="str">
        <f t="shared" si="14"/>
        <v/>
      </c>
      <c r="AM66" s="70" t="str">
        <f t="array" ref="AM66">IFERROR(TRIM(_xlfn.REGEXEXTRACT(AK66,"(\d.+[%]?$|[0-9]|[A-Z]+$)")),"")</f>
        <v/>
      </c>
      <c r="AN66" s="71" t="str">
        <f>IFERROR(VLOOKUP(AL66,'사용자가 입력할 시트'!$AF$2:$AG$60,2,FALSE),AL66)</f>
        <v/>
      </c>
      <c r="AO66" s="72" t="str">
        <f t="array" ref="AO66">IFERROR(TRIM(_xlfn.REGEXEXTRACT(AM66,"(\d+[%]?$|[A-Z]+$)")),"")</f>
        <v/>
      </c>
      <c r="AP66" s="69"/>
      <c r="AQ66" s="70" t="str">
        <f t="shared" si="15"/>
        <v/>
      </c>
      <c r="AR66" s="70" t="str">
        <f t="array" ref="AR66">IFERROR(TRIM(_xlfn.REGEXEXTRACT(AP66,"(\d.+[%]?$|[0-9]|[A-Z]+$)")),"")</f>
        <v/>
      </c>
      <c r="AS66" s="71" t="str">
        <f>IFERROR(VLOOKUP(AQ66,'사용자가 입력할 시트'!$AF$2:$AG$60,2,FALSE),AQ66)</f>
        <v/>
      </c>
      <c r="AT66" s="72" t="str">
        <f t="array" ref="AT66">IFERROR(TRIM(_xlfn.REGEXEXTRACT(AR66,"(\d+[%]?$|[A-Z]+$)")),"")</f>
        <v/>
      </c>
      <c r="AU66" s="69"/>
      <c r="AV66" s="70" t="str">
        <f t="shared" si="16"/>
        <v/>
      </c>
      <c r="AW66" s="70" t="str">
        <f t="array" ref="AW66">IFERROR(TRIM(_xlfn.REGEXEXTRACT(AU66,"(\d.+[%]?$|[0-9]|[A-Z]+$)")),"")</f>
        <v/>
      </c>
      <c r="AX66" s="71" t="str">
        <f>IFERROR(VLOOKUP(AV66,'사용자가 입력할 시트'!$AF$2:$AG$60,2,FALSE),AV66)</f>
        <v/>
      </c>
      <c r="AY66" s="72" t="str">
        <f t="array" ref="AY66">IFERROR(TRIM(_xlfn.REGEXEXTRACT(AW66,"(\d+[%]?$|[A-Z]+$)")),"")</f>
        <v/>
      </c>
      <c r="AZ66" s="69"/>
      <c r="BA66" s="70" t="str">
        <f t="shared" si="17"/>
        <v/>
      </c>
      <c r="BB66" s="70" t="str">
        <f t="array" ref="BB66">IFERROR(TRIM(_xlfn.REGEXEXTRACT(AZ66,"(\d.+[%]?$|[0-9]|[A-Z]+$)")),"")</f>
        <v/>
      </c>
      <c r="BC66" s="71" t="str">
        <f>IFERROR(VLOOKUP(BA66,'사용자가 입력할 시트'!$AF$2:$AG$60,2,FALSE),BA66)</f>
        <v/>
      </c>
      <c r="BD66" s="72" t="str">
        <f t="array" ref="BD66">IFERROR(TRIM(_xlfn.REGEXEXTRACT(BB66,"(\d+[%]?$|[A-Z]+$)")),"")</f>
        <v/>
      </c>
      <c r="BE66" s="69"/>
      <c r="BF66" s="70" t="str">
        <f t="shared" si="18"/>
        <v/>
      </c>
      <c r="BG66" s="70" t="str">
        <f t="array" ref="BG66">IFERROR(TRIM(_xlfn.REGEXEXTRACT(BE66,"(\d.+[%]?$|[0-9]|[A-Z]+$)")),"")</f>
        <v/>
      </c>
      <c r="BH66" s="71" t="str">
        <f>IFERROR(VLOOKUP(BF66,'사용자가 입력할 시트'!$AF$2:$AG$60,2,FALSE),BF66)</f>
        <v/>
      </c>
      <c r="BI66" s="72" t="str">
        <f t="array" ref="BI66">IFERROR(TRIM(_xlfn.REGEXEXTRACT(BG66,"(\d+[%]?$|[A-Z]+$)")),"")</f>
        <v/>
      </c>
      <c r="BJ66" s="69"/>
      <c r="BK66" s="70" t="str">
        <f t="shared" si="19"/>
        <v/>
      </c>
      <c r="BL66" s="70" t="str">
        <f t="array" ref="BL66">IFERROR(TRIM(_xlfn.REGEXEXTRACT(BJ66,"(\d.+[%]?$|[0-9]|[A-Z]+$)")),"")</f>
        <v/>
      </c>
      <c r="BM66" s="71" t="str">
        <f>IFERROR(VLOOKUP(BK66,'사용자가 입력할 시트'!$AF$2:$AG$60,2,FALSE),BK66)</f>
        <v/>
      </c>
      <c r="BN66" s="72" t="str">
        <f t="array" ref="BN66">IFERROR(TRIM(_xlfn.REGEXEXTRACT(BL66,"(\d+[%]?$|[A-Z]+$)")),"")</f>
        <v/>
      </c>
      <c r="BO66" s="69"/>
      <c r="BP66" s="70" t="str">
        <f t="shared" si="20"/>
        <v/>
      </c>
      <c r="BQ66" s="70" t="str">
        <f t="array" ref="BQ66">IFERROR(TRIM(_xlfn.REGEXEXTRACT(BO66,"(\d.+[%]?$|[0-9]|[A-Z]+$)")),"")</f>
        <v/>
      </c>
      <c r="BR66" s="71" t="str">
        <f>IFERROR(VLOOKUP(BP66,'사용자가 입력할 시트'!$AF$2:$AG$60,2,FALSE),BP66)</f>
        <v/>
      </c>
      <c r="BS66" s="72" t="str">
        <f t="array" ref="BS66">IFERROR(TRIM(_xlfn.REGEXEXTRACT(BQ66,"(\d+[%]?$|[A-Z]+$)")),"")</f>
        <v/>
      </c>
      <c r="BT66" s="69"/>
      <c r="BU66" s="70" t="str">
        <f t="shared" si="21"/>
        <v/>
      </c>
      <c r="BV66" s="70" t="str">
        <f t="array" ref="BV66">IFERROR(TRIM(_xlfn.REGEXEXTRACT(BT66,"(\d.+[%]?$|[0-9]|[A-Z]+$)")),"")</f>
        <v/>
      </c>
      <c r="BW66" s="71" t="str">
        <f>IFERROR(VLOOKUP(BU66,'사용자가 입력할 시트'!$AF$2:$AG$60,2,FALSE),BU66)</f>
        <v/>
      </c>
      <c r="BX66" s="72" t="str">
        <f t="array" ref="BX66">IFERROR(TRIM(_xlfn.REGEXEXTRACT(BV66,"(\d+[%]?$|[A-Z]+$)")),"")</f>
        <v/>
      </c>
      <c r="BY66" s="69"/>
      <c r="BZ66" s="70" t="str">
        <f t="shared" si="22"/>
        <v/>
      </c>
      <c r="CA66" s="70" t="str">
        <f t="array" ref="CA66">IFERROR(TRIM(_xlfn.REGEXEXTRACT(BY66,"(\d.+[%]?$|[0-9]|[A-Z]+$)")),"")</f>
        <v/>
      </c>
      <c r="CB66" s="71" t="str">
        <f>IFERROR(VLOOKUP(BZ66,'사용자가 입력할 시트'!$AF$2:$AG$60,2,FALSE),BZ66)</f>
        <v/>
      </c>
      <c r="CC66" s="72" t="str">
        <f t="array" ref="CC66">IFERROR(TRIM(_xlfn.REGEXEXTRACT(CA66,"(\d+[%]?$|[A-Z]+$)")),"")</f>
        <v/>
      </c>
    </row>
    <row r="67" spans="2:81">
      <c r="W67" s="2" t="str">
        <f t="shared" ca="1" si="10"/>
        <v/>
      </c>
      <c r="X67" s="2" t="str">
        <f t="shared" ca="1" si="11"/>
        <v/>
      </c>
      <c r="Y67" s="2" t="str">
        <f t="shared" ca="1" si="12"/>
        <v/>
      </c>
      <c r="Z67" s="42" t="str">
        <f t="shared" ref="Z67" ca="1" si="81">IF(Y65="","",$Y$4&amp;" :"&amp;Y65&amp;IF(Y65=Y66,"","("&amp;Y66&amp;")"))</f>
        <v/>
      </c>
      <c r="AF67" s="82"/>
      <c r="AG67" s="70" t="str">
        <f t="shared" si="13"/>
        <v/>
      </c>
      <c r="AH67" s="70" t="str">
        <f t="array" ref="AH67">IFERROR(TRIM(_xlfn.REGEXEXTRACT(AF67,"(\d.+[%]?$|[0-9]|[A-Z]+$)")),"")</f>
        <v/>
      </c>
      <c r="AI67" s="71" t="str">
        <f>IFERROR(VLOOKUP(AG67,'사용자가 입력할 시트'!$AF$2:$AG$60,2,FALSE),AG67)</f>
        <v/>
      </c>
      <c r="AJ67" s="72" t="str">
        <f t="array" ref="AJ67">IFERROR(TRIM(_xlfn.REGEXEXTRACT(AH67,"(\d+[%]?$|[A-Z]+$)")),"")</f>
        <v/>
      </c>
      <c r="AK67" s="82"/>
      <c r="AL67" s="70" t="str">
        <f t="shared" si="14"/>
        <v/>
      </c>
      <c r="AM67" s="70" t="str">
        <f t="array" ref="AM67">IFERROR(TRIM(_xlfn.REGEXEXTRACT(AK67,"(\d.+[%]?$|[0-9]|[A-Z]+$)")),"")</f>
        <v/>
      </c>
      <c r="AN67" s="71" t="str">
        <f>IFERROR(VLOOKUP(AL67,'사용자가 입력할 시트'!$AF$2:$AG$60,2,FALSE),AL67)</f>
        <v/>
      </c>
      <c r="AO67" s="72" t="str">
        <f t="array" ref="AO67">IFERROR(TRIM(_xlfn.REGEXEXTRACT(AM67,"(\d+[%]?$|[A-Z]+$)")),"")</f>
        <v/>
      </c>
      <c r="AP67" s="82"/>
      <c r="AQ67" s="70" t="str">
        <f t="shared" si="15"/>
        <v/>
      </c>
      <c r="AR67" s="70" t="str">
        <f t="array" ref="AR67">IFERROR(TRIM(_xlfn.REGEXEXTRACT(AP67,"(\d.+[%]?$|[0-9]|[A-Z]+$)")),"")</f>
        <v/>
      </c>
      <c r="AS67" s="71" t="str">
        <f>IFERROR(VLOOKUP(AQ67,'사용자가 입력할 시트'!$AF$2:$AG$60,2,FALSE),AQ67)</f>
        <v/>
      </c>
      <c r="AT67" s="72" t="str">
        <f t="array" ref="AT67">IFERROR(TRIM(_xlfn.REGEXEXTRACT(AR67,"(\d+[%]?$|[A-Z]+$)")),"")</f>
        <v/>
      </c>
      <c r="AU67" s="82"/>
      <c r="AV67" s="70" t="str">
        <f t="shared" si="16"/>
        <v/>
      </c>
      <c r="AW67" s="70" t="str">
        <f t="array" ref="AW67">IFERROR(TRIM(_xlfn.REGEXEXTRACT(AU67,"(\d.+[%]?$|[0-9]|[A-Z]+$)")),"")</f>
        <v/>
      </c>
      <c r="AX67" s="71" t="str">
        <f>IFERROR(VLOOKUP(AV67,'사용자가 입력할 시트'!$AF$2:$AG$60,2,FALSE),AV67)</f>
        <v/>
      </c>
      <c r="AY67" s="72" t="str">
        <f t="array" ref="AY67">IFERROR(TRIM(_xlfn.REGEXEXTRACT(AW67,"(\d+[%]?$|[A-Z]+$)")),"")</f>
        <v/>
      </c>
      <c r="AZ67" s="82"/>
      <c r="BA67" s="70" t="str">
        <f t="shared" si="17"/>
        <v/>
      </c>
      <c r="BB67" s="70" t="str">
        <f t="array" ref="BB67">IFERROR(TRIM(_xlfn.REGEXEXTRACT(AZ67,"(\d.+[%]?$|[0-9]|[A-Z]+$)")),"")</f>
        <v/>
      </c>
      <c r="BC67" s="71" t="str">
        <f>IFERROR(VLOOKUP(BA67,'사용자가 입력할 시트'!$AF$2:$AG$60,2,FALSE),BA67)</f>
        <v/>
      </c>
      <c r="BD67" s="72" t="str">
        <f t="array" ref="BD67">IFERROR(TRIM(_xlfn.REGEXEXTRACT(BB67,"(\d+[%]?$|[A-Z]+$)")),"")</f>
        <v/>
      </c>
      <c r="BE67" s="82"/>
      <c r="BF67" s="70" t="str">
        <f t="shared" si="18"/>
        <v/>
      </c>
      <c r="BG67" s="70" t="str">
        <f t="array" ref="BG67">IFERROR(TRIM(_xlfn.REGEXEXTRACT(BE67,"(\d.+[%]?$|[0-9]|[A-Z]+$)")),"")</f>
        <v/>
      </c>
      <c r="BH67" s="71" t="str">
        <f>IFERROR(VLOOKUP(BF67,'사용자가 입력할 시트'!$AF$2:$AG$60,2,FALSE),BF67)</f>
        <v/>
      </c>
      <c r="BI67" s="72" t="str">
        <f t="array" ref="BI67">IFERROR(TRIM(_xlfn.REGEXEXTRACT(BG67,"(\d+[%]?$|[A-Z]+$)")),"")</f>
        <v/>
      </c>
      <c r="BJ67" s="82"/>
      <c r="BK67" s="70" t="str">
        <f t="shared" si="19"/>
        <v/>
      </c>
      <c r="BL67" s="70" t="str">
        <f t="array" ref="BL67">IFERROR(TRIM(_xlfn.REGEXEXTRACT(BJ67,"(\d.+[%]?$|[0-9]|[A-Z]+$)")),"")</f>
        <v/>
      </c>
      <c r="BM67" s="71" t="str">
        <f>IFERROR(VLOOKUP(BK67,'사용자가 입력할 시트'!$AF$2:$AG$60,2,FALSE),BK67)</f>
        <v/>
      </c>
      <c r="BN67" s="72" t="str">
        <f t="array" ref="BN67">IFERROR(TRIM(_xlfn.REGEXEXTRACT(BL67,"(\d+[%]?$|[A-Z]+$)")),"")</f>
        <v/>
      </c>
      <c r="BO67" s="82"/>
      <c r="BP67" s="70" t="str">
        <f t="shared" si="20"/>
        <v/>
      </c>
      <c r="BQ67" s="70" t="str">
        <f t="array" ref="BQ67">IFERROR(TRIM(_xlfn.REGEXEXTRACT(BO67,"(\d.+[%]?$|[0-9]|[A-Z]+$)")),"")</f>
        <v/>
      </c>
      <c r="BR67" s="71" t="str">
        <f>IFERROR(VLOOKUP(BP67,'사용자가 입력할 시트'!$AF$2:$AG$60,2,FALSE),BP67)</f>
        <v/>
      </c>
      <c r="BS67" s="72" t="str">
        <f t="array" ref="BS67">IFERROR(TRIM(_xlfn.REGEXEXTRACT(BQ67,"(\d+[%]?$|[A-Z]+$)")),"")</f>
        <v/>
      </c>
      <c r="BT67" s="82"/>
      <c r="BU67" s="70" t="str">
        <f t="shared" si="21"/>
        <v/>
      </c>
      <c r="BV67" s="70" t="str">
        <f t="array" ref="BV67">IFERROR(TRIM(_xlfn.REGEXEXTRACT(BT67,"(\d.+[%]?$|[0-9]|[A-Z]+$)")),"")</f>
        <v/>
      </c>
      <c r="BW67" s="71" t="str">
        <f>IFERROR(VLOOKUP(BU67,'사용자가 입력할 시트'!$AF$2:$AG$60,2,FALSE),BU67)</f>
        <v/>
      </c>
      <c r="BX67" s="72" t="str">
        <f t="array" ref="BX67">IFERROR(TRIM(_xlfn.REGEXEXTRACT(BV67,"(\d+[%]?$|[A-Z]+$)")),"")</f>
        <v/>
      </c>
      <c r="BY67" s="82"/>
      <c r="BZ67" s="70" t="str">
        <f t="shared" si="22"/>
        <v/>
      </c>
      <c r="CA67" s="70" t="str">
        <f t="array" ref="CA67">IFERROR(TRIM(_xlfn.REGEXEXTRACT(BY67,"(\d.+[%]?$|[0-9]|[A-Z]+$)")),"")</f>
        <v/>
      </c>
      <c r="CB67" s="71" t="str">
        <f>IFERROR(VLOOKUP(BZ67,'사용자가 입력할 시트'!$AF$2:$AG$60,2,FALSE),BZ67)</f>
        <v/>
      </c>
      <c r="CC67" s="72" t="str">
        <f t="array" ref="CC67">IFERROR(TRIM(_xlfn.REGEXEXTRACT(CA67,"(\d+[%]?$|[A-Z]+$)")),"")</f>
        <v/>
      </c>
    </row>
    <row r="68" spans="2:81">
      <c r="W68" s="2" t="str">
        <f t="shared" ca="1" si="10"/>
        <v/>
      </c>
      <c r="X68" s="2" t="str">
        <f t="shared" ca="1" si="11"/>
        <v/>
      </c>
      <c r="Y68" s="2" t="str">
        <f t="shared" ca="1" si="12"/>
        <v/>
      </c>
      <c r="Z68" s="42" t="str">
        <f t="shared" ref="Z68" ca="1" si="82">IF(W68="","",$W$4&amp;" :"&amp;W68&amp;IF(W68=W69,"","("&amp;W69&amp;")"))</f>
        <v/>
      </c>
      <c r="AF68" s="69"/>
      <c r="AG68" s="70" t="str">
        <f t="shared" si="13"/>
        <v/>
      </c>
      <c r="AH68" s="70" t="str">
        <f t="array" ref="AH68">IFERROR(TRIM(_xlfn.REGEXEXTRACT(AF68,"(\d.+[%]?$|[0-9]|[A-Z]+$)")),"")</f>
        <v/>
      </c>
      <c r="AI68" s="71" t="str">
        <f>IFERROR(VLOOKUP(AG68,'사용자가 입력할 시트'!$AF$2:$AG$60,2,FALSE),AG68)</f>
        <v/>
      </c>
      <c r="AJ68" s="72" t="str">
        <f t="array" ref="AJ68">IFERROR(TRIM(_xlfn.REGEXEXTRACT(AH68,"(\d+[%]?$|[A-Z]+$)")),"")</f>
        <v/>
      </c>
      <c r="AK68" s="69"/>
      <c r="AL68" s="70" t="str">
        <f t="shared" si="14"/>
        <v/>
      </c>
      <c r="AM68" s="70" t="str">
        <f t="array" ref="AM68">IFERROR(TRIM(_xlfn.REGEXEXTRACT(AK68,"(\d.+[%]?$|[0-9]|[A-Z]+$)")),"")</f>
        <v/>
      </c>
      <c r="AN68" s="71" t="str">
        <f>IFERROR(VLOOKUP(AL68,'사용자가 입력할 시트'!$AF$2:$AG$60,2,FALSE),AL68)</f>
        <v/>
      </c>
      <c r="AO68" s="72" t="str">
        <f t="array" ref="AO68">IFERROR(TRIM(_xlfn.REGEXEXTRACT(AM68,"(\d+[%]?$|[A-Z]+$)")),"")</f>
        <v/>
      </c>
      <c r="AP68" s="69"/>
      <c r="AQ68" s="70" t="str">
        <f t="shared" si="15"/>
        <v/>
      </c>
      <c r="AR68" s="70" t="str">
        <f t="array" ref="AR68">IFERROR(TRIM(_xlfn.REGEXEXTRACT(AP68,"(\d.+[%]?$|[0-9]|[A-Z]+$)")),"")</f>
        <v/>
      </c>
      <c r="AS68" s="71" t="str">
        <f>IFERROR(VLOOKUP(AQ68,'사용자가 입력할 시트'!$AF$2:$AG$60,2,FALSE),AQ68)</f>
        <v/>
      </c>
      <c r="AT68" s="72" t="str">
        <f t="array" ref="AT68">IFERROR(TRIM(_xlfn.REGEXEXTRACT(AR68,"(\d+[%]?$|[A-Z]+$)")),"")</f>
        <v/>
      </c>
      <c r="AU68" s="69"/>
      <c r="AV68" s="70" t="str">
        <f t="shared" si="16"/>
        <v/>
      </c>
      <c r="AW68" s="70" t="str">
        <f t="array" ref="AW68">IFERROR(TRIM(_xlfn.REGEXEXTRACT(AU68,"(\d.+[%]?$|[0-9]|[A-Z]+$)")),"")</f>
        <v/>
      </c>
      <c r="AX68" s="71" t="str">
        <f>IFERROR(VLOOKUP(AV68,'사용자가 입력할 시트'!$AF$2:$AG$60,2,FALSE),AV68)</f>
        <v/>
      </c>
      <c r="AY68" s="72" t="str">
        <f t="array" ref="AY68">IFERROR(TRIM(_xlfn.REGEXEXTRACT(AW68,"(\d+[%]?$|[A-Z]+$)")),"")</f>
        <v/>
      </c>
      <c r="AZ68" s="69"/>
      <c r="BA68" s="70" t="str">
        <f t="shared" si="17"/>
        <v/>
      </c>
      <c r="BB68" s="70" t="str">
        <f t="array" ref="BB68">IFERROR(TRIM(_xlfn.REGEXEXTRACT(AZ68,"(\d.+[%]?$|[0-9]|[A-Z]+$)")),"")</f>
        <v/>
      </c>
      <c r="BC68" s="71" t="str">
        <f>IFERROR(VLOOKUP(BA68,'사용자가 입력할 시트'!$AF$2:$AG$60,2,FALSE),BA68)</f>
        <v/>
      </c>
      <c r="BD68" s="72" t="str">
        <f t="array" ref="BD68">IFERROR(TRIM(_xlfn.REGEXEXTRACT(BB68,"(\d+[%]?$|[A-Z]+$)")),"")</f>
        <v/>
      </c>
      <c r="BE68" s="69"/>
      <c r="BF68" s="70" t="str">
        <f t="shared" si="18"/>
        <v/>
      </c>
      <c r="BG68" s="70" t="str">
        <f t="array" ref="BG68">IFERROR(TRIM(_xlfn.REGEXEXTRACT(BE68,"(\d.+[%]?$|[0-9]|[A-Z]+$)")),"")</f>
        <v/>
      </c>
      <c r="BH68" s="71" t="str">
        <f>IFERROR(VLOOKUP(BF68,'사용자가 입력할 시트'!$AF$2:$AG$60,2,FALSE),BF68)</f>
        <v/>
      </c>
      <c r="BI68" s="72" t="str">
        <f t="array" ref="BI68">IFERROR(TRIM(_xlfn.REGEXEXTRACT(BG68,"(\d+[%]?$|[A-Z]+$)")),"")</f>
        <v/>
      </c>
      <c r="BJ68" s="69"/>
      <c r="BK68" s="70" t="str">
        <f t="shared" si="19"/>
        <v/>
      </c>
      <c r="BL68" s="70" t="str">
        <f t="array" ref="BL68">IFERROR(TRIM(_xlfn.REGEXEXTRACT(BJ68,"(\d.+[%]?$|[0-9]|[A-Z]+$)")),"")</f>
        <v/>
      </c>
      <c r="BM68" s="71" t="str">
        <f>IFERROR(VLOOKUP(BK68,'사용자가 입력할 시트'!$AF$2:$AG$60,2,FALSE),BK68)</f>
        <v/>
      </c>
      <c r="BN68" s="72" t="str">
        <f t="array" ref="BN68">IFERROR(TRIM(_xlfn.REGEXEXTRACT(BL68,"(\d+[%]?$|[A-Z]+$)")),"")</f>
        <v/>
      </c>
      <c r="BO68" s="69"/>
      <c r="BP68" s="70" t="str">
        <f t="shared" si="20"/>
        <v/>
      </c>
      <c r="BQ68" s="70" t="str">
        <f t="array" ref="BQ68">IFERROR(TRIM(_xlfn.REGEXEXTRACT(BO68,"(\d.+[%]?$|[0-9]|[A-Z]+$)")),"")</f>
        <v/>
      </c>
      <c r="BR68" s="71" t="str">
        <f>IFERROR(VLOOKUP(BP68,'사용자가 입력할 시트'!$AF$2:$AG$60,2,FALSE),BP68)</f>
        <v/>
      </c>
      <c r="BS68" s="72" t="str">
        <f t="array" ref="BS68">IFERROR(TRIM(_xlfn.REGEXEXTRACT(BQ68,"(\d+[%]?$|[A-Z]+$)")),"")</f>
        <v/>
      </c>
      <c r="BT68" s="69"/>
      <c r="BU68" s="70" t="str">
        <f t="shared" si="21"/>
        <v/>
      </c>
      <c r="BV68" s="70" t="str">
        <f t="array" ref="BV68">IFERROR(TRIM(_xlfn.REGEXEXTRACT(BT68,"(\d.+[%]?$|[0-9]|[A-Z]+$)")),"")</f>
        <v/>
      </c>
      <c r="BW68" s="71" t="str">
        <f>IFERROR(VLOOKUP(BU68,'사용자가 입력할 시트'!$AF$2:$AG$60,2,FALSE),BU68)</f>
        <v/>
      </c>
      <c r="BX68" s="72" t="str">
        <f t="array" ref="BX68">IFERROR(TRIM(_xlfn.REGEXEXTRACT(BV68,"(\d+[%]?$|[A-Z]+$)")),"")</f>
        <v/>
      </c>
      <c r="BY68" s="69"/>
      <c r="BZ68" s="70" t="str">
        <f t="shared" si="22"/>
        <v/>
      </c>
      <c r="CA68" s="70" t="str">
        <f t="array" ref="CA68">IFERROR(TRIM(_xlfn.REGEXEXTRACT(BY68,"(\d.+[%]?$|[0-9]|[A-Z]+$)")),"")</f>
        <v/>
      </c>
      <c r="CB68" s="71" t="str">
        <f>IFERROR(VLOOKUP(BZ68,'사용자가 입력할 시트'!$AF$2:$AG$60,2,FALSE),BZ68)</f>
        <v/>
      </c>
      <c r="CC68" s="72" t="str">
        <f t="array" ref="CC68">IFERROR(TRIM(_xlfn.REGEXEXTRACT(CA68,"(\d+[%]?$|[A-Z]+$)")),"")</f>
        <v/>
      </c>
    </row>
    <row r="69" spans="2:81">
      <c r="W69" s="2" t="str">
        <f t="shared" ca="1" si="10"/>
        <v/>
      </c>
      <c r="X69" s="2" t="str">
        <f t="shared" ca="1" si="11"/>
        <v/>
      </c>
      <c r="Y69" s="2" t="str">
        <f t="shared" ca="1" si="12"/>
        <v/>
      </c>
      <c r="Z69" s="42" t="str">
        <f t="shared" ref="Z69" ca="1" si="83">IF(X68="","",$X$4&amp;" :"&amp;X68&amp;IF(X68=X69,"","("&amp;X69&amp;")"))</f>
        <v/>
      </c>
      <c r="AF69" s="69"/>
      <c r="AG69" s="70" t="str">
        <f t="shared" si="13"/>
        <v/>
      </c>
      <c r="AH69" s="70" t="str">
        <f t="array" ref="AH69">IFERROR(TRIM(_xlfn.REGEXEXTRACT(AF69,"(\d.+[%]?$|[0-9]|[A-Z]+$)")),"")</f>
        <v/>
      </c>
      <c r="AI69" s="71" t="str">
        <f>IFERROR(VLOOKUP(AG69,'사용자가 입력할 시트'!$AF$2:$AG$60,2,FALSE),AG69)</f>
        <v/>
      </c>
      <c r="AJ69" s="72" t="str">
        <f t="array" ref="AJ69">IFERROR(TRIM(_xlfn.REGEXEXTRACT(AH69,"(\d+[%]?$|[A-Z]+$)")),"")</f>
        <v/>
      </c>
      <c r="AK69" s="69"/>
      <c r="AL69" s="70" t="str">
        <f t="shared" si="14"/>
        <v/>
      </c>
      <c r="AM69" s="70" t="str">
        <f t="array" ref="AM69">IFERROR(TRIM(_xlfn.REGEXEXTRACT(AK69,"(\d.+[%]?$|[0-9]|[A-Z]+$)")),"")</f>
        <v/>
      </c>
      <c r="AN69" s="71" t="str">
        <f>IFERROR(VLOOKUP(AL69,'사용자가 입력할 시트'!$AF$2:$AG$60,2,FALSE),AL69)</f>
        <v/>
      </c>
      <c r="AO69" s="72" t="str">
        <f t="array" ref="AO69">IFERROR(TRIM(_xlfn.REGEXEXTRACT(AM69,"(\d+[%]?$|[A-Z]+$)")),"")</f>
        <v/>
      </c>
      <c r="AP69" s="69"/>
      <c r="AQ69" s="70" t="str">
        <f t="shared" si="15"/>
        <v/>
      </c>
      <c r="AR69" s="70" t="str">
        <f t="array" ref="AR69">IFERROR(TRIM(_xlfn.REGEXEXTRACT(AP69,"(\d.+[%]?$|[0-9]|[A-Z]+$)")),"")</f>
        <v/>
      </c>
      <c r="AS69" s="71" t="str">
        <f>IFERROR(VLOOKUP(AQ69,'사용자가 입력할 시트'!$AF$2:$AG$60,2,FALSE),AQ69)</f>
        <v/>
      </c>
      <c r="AT69" s="72" t="str">
        <f t="array" ref="AT69">IFERROR(TRIM(_xlfn.REGEXEXTRACT(AR69,"(\d+[%]?$|[A-Z]+$)")),"")</f>
        <v/>
      </c>
      <c r="AU69" s="69"/>
      <c r="AV69" s="70" t="str">
        <f t="shared" si="16"/>
        <v/>
      </c>
      <c r="AW69" s="70" t="str">
        <f t="array" ref="AW69">IFERROR(TRIM(_xlfn.REGEXEXTRACT(AU69,"(\d.+[%]?$|[0-9]|[A-Z]+$)")),"")</f>
        <v/>
      </c>
      <c r="AX69" s="71" t="str">
        <f>IFERROR(VLOOKUP(AV69,'사용자가 입력할 시트'!$AF$2:$AG$60,2,FALSE),AV69)</f>
        <v/>
      </c>
      <c r="AY69" s="72" t="str">
        <f t="array" ref="AY69">IFERROR(TRIM(_xlfn.REGEXEXTRACT(AW69,"(\d+[%]?$|[A-Z]+$)")),"")</f>
        <v/>
      </c>
      <c r="AZ69" s="69"/>
      <c r="BA69" s="70" t="str">
        <f t="shared" si="17"/>
        <v/>
      </c>
      <c r="BB69" s="70" t="str">
        <f t="array" ref="BB69">IFERROR(TRIM(_xlfn.REGEXEXTRACT(AZ69,"(\d.+[%]?$|[0-9]|[A-Z]+$)")),"")</f>
        <v/>
      </c>
      <c r="BC69" s="71" t="str">
        <f>IFERROR(VLOOKUP(BA69,'사용자가 입력할 시트'!$AF$2:$AG$60,2,FALSE),BA69)</f>
        <v/>
      </c>
      <c r="BD69" s="72" t="str">
        <f t="array" ref="BD69">IFERROR(TRIM(_xlfn.REGEXEXTRACT(BB69,"(\d+[%]?$|[A-Z]+$)")),"")</f>
        <v/>
      </c>
      <c r="BE69" s="69"/>
      <c r="BF69" s="70" t="str">
        <f t="shared" si="18"/>
        <v/>
      </c>
      <c r="BG69" s="70" t="str">
        <f t="array" ref="BG69">IFERROR(TRIM(_xlfn.REGEXEXTRACT(BE69,"(\d.+[%]?$|[0-9]|[A-Z]+$)")),"")</f>
        <v/>
      </c>
      <c r="BH69" s="71" t="str">
        <f>IFERROR(VLOOKUP(BF69,'사용자가 입력할 시트'!$AF$2:$AG$60,2,FALSE),BF69)</f>
        <v/>
      </c>
      <c r="BI69" s="72" t="str">
        <f t="array" ref="BI69">IFERROR(TRIM(_xlfn.REGEXEXTRACT(BG69,"(\d+[%]?$|[A-Z]+$)")),"")</f>
        <v/>
      </c>
      <c r="BJ69" s="69"/>
      <c r="BK69" s="70" t="str">
        <f t="shared" si="19"/>
        <v/>
      </c>
      <c r="BL69" s="70" t="str">
        <f t="array" ref="BL69">IFERROR(TRIM(_xlfn.REGEXEXTRACT(BJ69,"(\d.+[%]?$|[0-9]|[A-Z]+$)")),"")</f>
        <v/>
      </c>
      <c r="BM69" s="71" t="str">
        <f>IFERROR(VLOOKUP(BK69,'사용자가 입력할 시트'!$AF$2:$AG$60,2,FALSE),BK69)</f>
        <v/>
      </c>
      <c r="BN69" s="72" t="str">
        <f t="array" ref="BN69">IFERROR(TRIM(_xlfn.REGEXEXTRACT(BL69,"(\d+[%]?$|[A-Z]+$)")),"")</f>
        <v/>
      </c>
      <c r="BO69" s="69"/>
      <c r="BP69" s="70" t="str">
        <f t="shared" si="20"/>
        <v/>
      </c>
      <c r="BQ69" s="70" t="str">
        <f t="array" ref="BQ69">IFERROR(TRIM(_xlfn.REGEXEXTRACT(BO69,"(\d.+[%]?$|[0-9]|[A-Z]+$)")),"")</f>
        <v/>
      </c>
      <c r="BR69" s="71" t="str">
        <f>IFERROR(VLOOKUP(BP69,'사용자가 입력할 시트'!$AF$2:$AG$60,2,FALSE),BP69)</f>
        <v/>
      </c>
      <c r="BS69" s="72" t="str">
        <f t="array" ref="BS69">IFERROR(TRIM(_xlfn.REGEXEXTRACT(BQ69,"(\d+[%]?$|[A-Z]+$)")),"")</f>
        <v/>
      </c>
      <c r="BT69" s="69"/>
      <c r="BU69" s="70" t="str">
        <f t="shared" si="21"/>
        <v/>
      </c>
      <c r="BV69" s="70" t="str">
        <f t="array" ref="BV69">IFERROR(TRIM(_xlfn.REGEXEXTRACT(BT69,"(\d.+[%]?$|[0-9]|[A-Z]+$)")),"")</f>
        <v/>
      </c>
      <c r="BW69" s="71" t="str">
        <f>IFERROR(VLOOKUP(BU69,'사용자가 입력할 시트'!$AF$2:$AG$60,2,FALSE),BU69)</f>
        <v/>
      </c>
      <c r="BX69" s="72" t="str">
        <f t="array" ref="BX69">IFERROR(TRIM(_xlfn.REGEXEXTRACT(BV69,"(\d+[%]?$|[A-Z]+$)")),"")</f>
        <v/>
      </c>
      <c r="BY69" s="69"/>
      <c r="BZ69" s="70" t="str">
        <f t="shared" si="22"/>
        <v/>
      </c>
      <c r="CA69" s="70" t="str">
        <f t="array" ref="CA69">IFERROR(TRIM(_xlfn.REGEXEXTRACT(BY69,"(\d.+[%]?$|[0-9]|[A-Z]+$)")),"")</f>
        <v/>
      </c>
      <c r="CB69" s="71" t="str">
        <f>IFERROR(VLOOKUP(BZ69,'사용자가 입력할 시트'!$AF$2:$AG$60,2,FALSE),BZ69)</f>
        <v/>
      </c>
      <c r="CC69" s="72" t="str">
        <f t="array" ref="CC69">IFERROR(TRIM(_xlfn.REGEXEXTRACT(CA69,"(\d+[%]?$|[A-Z]+$)")),"")</f>
        <v/>
      </c>
    </row>
    <row r="70" spans="2:81">
      <c r="W70" s="2" t="str">
        <f t="shared" ref="W70:W96" ca="1" si="84">IFERROR(VLOOKUP(W$4,INDIRECT($AD71),2,FALSE),"")</f>
        <v/>
      </c>
      <c r="X70" s="2" t="str">
        <f t="shared" ref="X70:X96" ca="1" si="85">IFERROR(VLOOKUP(X$4,INDIRECT($AD71),2,FALSE),"")</f>
        <v/>
      </c>
      <c r="Y70" s="2" t="str">
        <f t="shared" ref="Y70:Y96" ca="1" si="86">IFERROR(VLOOKUP(Y$4,INDIRECT($AD71),2,FALSE),"")</f>
        <v/>
      </c>
      <c r="Z70" s="42" t="str">
        <f t="shared" ref="Z70" ca="1" si="87">IF(Y68="","",$Y$4&amp;" :"&amp;Y68&amp;IF(Y68=Y69,"","("&amp;Y69&amp;")"))</f>
        <v/>
      </c>
      <c r="AF70" s="69"/>
      <c r="AG70" s="70" t="str">
        <f t="shared" ref="AG70:AG100" si="88">IF(ISNUMBER(SEARCH("≪",AF70)),AF70,TRIM(SUBSTITUTE(AF70,AH70,"",1)))</f>
        <v/>
      </c>
      <c r="AH70" s="70" t="str">
        <f t="array" ref="AH70">IFERROR(TRIM(_xlfn.REGEXEXTRACT(AF70,"(\d.+[%]?$|[0-9]|[A-Z]+$)")),"")</f>
        <v/>
      </c>
      <c r="AI70" s="71" t="str">
        <f>IFERROR(VLOOKUP(AG70,'사용자가 입력할 시트'!$AF$2:$AG$60,2,FALSE),AG70)</f>
        <v/>
      </c>
      <c r="AJ70" s="72" t="str">
        <f t="array" ref="AJ70">IFERROR(TRIM(_xlfn.REGEXEXTRACT(AH70,"(\d+[%]?$|[A-Z]+$)")),"")</f>
        <v/>
      </c>
      <c r="AK70" s="69"/>
      <c r="AL70" s="70" t="str">
        <f t="shared" ref="AL70:AL100" si="89">IF(ISNUMBER(SEARCH("≪",AK70)),AK70,TRIM(SUBSTITUTE(AK70,AM70,"",1)))</f>
        <v/>
      </c>
      <c r="AM70" s="70" t="str">
        <f t="array" ref="AM70">IFERROR(TRIM(_xlfn.REGEXEXTRACT(AK70,"(\d.+[%]?$|[0-9]|[A-Z]+$)")),"")</f>
        <v/>
      </c>
      <c r="AN70" s="71" t="str">
        <f>IFERROR(VLOOKUP(AL70,'사용자가 입력할 시트'!$AF$2:$AG$60,2,FALSE),AL70)</f>
        <v/>
      </c>
      <c r="AO70" s="72" t="str">
        <f t="array" ref="AO70">IFERROR(TRIM(_xlfn.REGEXEXTRACT(AM70,"(\d+[%]?$|[A-Z]+$)")),"")</f>
        <v/>
      </c>
      <c r="AP70" s="69"/>
      <c r="AQ70" s="70" t="str">
        <f t="shared" ref="AQ70:AQ100" si="90">IF(ISNUMBER(SEARCH("≪",AP70)),AP70,TRIM(SUBSTITUTE(AP70,AR70,"",1)))</f>
        <v/>
      </c>
      <c r="AR70" s="70" t="str">
        <f t="array" ref="AR70">IFERROR(TRIM(_xlfn.REGEXEXTRACT(AP70,"(\d.+[%]?$|[0-9]|[A-Z]+$)")),"")</f>
        <v/>
      </c>
      <c r="AS70" s="71" t="str">
        <f>IFERROR(VLOOKUP(AQ70,'사용자가 입력할 시트'!$AF$2:$AG$60,2,FALSE),AQ70)</f>
        <v/>
      </c>
      <c r="AT70" s="72" t="str">
        <f t="array" ref="AT70">IFERROR(TRIM(_xlfn.REGEXEXTRACT(AR70,"(\d+[%]?$|[A-Z]+$)")),"")</f>
        <v/>
      </c>
      <c r="AU70" s="69"/>
      <c r="AV70" s="70" t="str">
        <f t="shared" ref="AV70:AV100" si="91">IF(ISNUMBER(SEARCH("≪",AU70)),AU70,TRIM(SUBSTITUTE(AU70,AW70,"",1)))</f>
        <v/>
      </c>
      <c r="AW70" s="70" t="str">
        <f t="array" ref="AW70">IFERROR(TRIM(_xlfn.REGEXEXTRACT(AU70,"(\d.+[%]?$|[0-9]|[A-Z]+$)")),"")</f>
        <v/>
      </c>
      <c r="AX70" s="71" t="str">
        <f>IFERROR(VLOOKUP(AV70,'사용자가 입력할 시트'!$AF$2:$AG$60,2,FALSE),AV70)</f>
        <v/>
      </c>
      <c r="AY70" s="72" t="str">
        <f t="array" ref="AY70">IFERROR(TRIM(_xlfn.REGEXEXTRACT(AW70,"(\d+[%]?$|[A-Z]+$)")),"")</f>
        <v/>
      </c>
      <c r="AZ70" s="69"/>
      <c r="BA70" s="70" t="str">
        <f t="shared" ref="BA70:BA100" si="92">IF(ISNUMBER(SEARCH("≪",AZ70)),AZ70,TRIM(SUBSTITUTE(AZ70,BB70,"",1)))</f>
        <v/>
      </c>
      <c r="BB70" s="70" t="str">
        <f t="array" ref="BB70">IFERROR(TRIM(_xlfn.REGEXEXTRACT(AZ70,"(\d.+[%]?$|[0-9]|[A-Z]+$)")),"")</f>
        <v/>
      </c>
      <c r="BC70" s="71" t="str">
        <f>IFERROR(VLOOKUP(BA70,'사용자가 입력할 시트'!$AF$2:$AG$60,2,FALSE),BA70)</f>
        <v/>
      </c>
      <c r="BD70" s="72" t="str">
        <f t="array" ref="BD70">IFERROR(TRIM(_xlfn.REGEXEXTRACT(BB70,"(\d+[%]?$|[A-Z]+$)")),"")</f>
        <v/>
      </c>
      <c r="BE70" s="69"/>
      <c r="BF70" s="70" t="str">
        <f t="shared" ref="BF70:BF100" si="93">IF(ISNUMBER(SEARCH("≪",BE70)),BE70,TRIM(SUBSTITUTE(BE70,BG70,"",1)))</f>
        <v/>
      </c>
      <c r="BG70" s="70" t="str">
        <f t="array" ref="BG70">IFERROR(TRIM(_xlfn.REGEXEXTRACT(BE70,"(\d.+[%]?$|[0-9]|[A-Z]+$)")),"")</f>
        <v/>
      </c>
      <c r="BH70" s="71" t="str">
        <f>IFERROR(VLOOKUP(BF70,'사용자가 입력할 시트'!$AF$2:$AG$60,2,FALSE),BF70)</f>
        <v/>
      </c>
      <c r="BI70" s="72" t="str">
        <f t="array" ref="BI70">IFERROR(TRIM(_xlfn.REGEXEXTRACT(BG70,"(\d+[%]?$|[A-Z]+$)")),"")</f>
        <v/>
      </c>
      <c r="BJ70" s="69"/>
      <c r="BK70" s="70" t="str">
        <f t="shared" ref="BK70:BK100" si="94">IF(ISNUMBER(SEARCH("≪",BJ70)),BJ70,TRIM(SUBSTITUTE(BJ70,BL70,"",1)))</f>
        <v/>
      </c>
      <c r="BL70" s="70" t="str">
        <f t="array" ref="BL70">IFERROR(TRIM(_xlfn.REGEXEXTRACT(BJ70,"(\d.+[%]?$|[0-9]|[A-Z]+$)")),"")</f>
        <v/>
      </c>
      <c r="BM70" s="71" t="str">
        <f>IFERROR(VLOOKUP(BK70,'사용자가 입력할 시트'!$AF$2:$AG$60,2,FALSE),BK70)</f>
        <v/>
      </c>
      <c r="BN70" s="72" t="str">
        <f t="array" ref="BN70">IFERROR(TRIM(_xlfn.REGEXEXTRACT(BL70,"(\d+[%]?$|[A-Z]+$)")),"")</f>
        <v/>
      </c>
      <c r="BO70" s="69"/>
      <c r="BP70" s="70" t="str">
        <f t="shared" ref="BP70:BP100" si="95">IF(ISNUMBER(SEARCH("≪",BO70)),BO70,TRIM(SUBSTITUTE(BO70,BQ70,"",1)))</f>
        <v/>
      </c>
      <c r="BQ70" s="70" t="str">
        <f t="array" ref="BQ70">IFERROR(TRIM(_xlfn.REGEXEXTRACT(BO70,"(\d.+[%]?$|[0-9]|[A-Z]+$)")),"")</f>
        <v/>
      </c>
      <c r="BR70" s="71" t="str">
        <f>IFERROR(VLOOKUP(BP70,'사용자가 입력할 시트'!$AF$2:$AG$60,2,FALSE),BP70)</f>
        <v/>
      </c>
      <c r="BS70" s="72" t="str">
        <f t="array" ref="BS70">IFERROR(TRIM(_xlfn.REGEXEXTRACT(BQ70,"(\d+[%]?$|[A-Z]+$)")),"")</f>
        <v/>
      </c>
      <c r="BT70" s="69"/>
      <c r="BU70" s="70" t="str">
        <f t="shared" ref="BU70:BU100" si="96">IF(ISNUMBER(SEARCH("≪",BT70)),BT70,TRIM(SUBSTITUTE(BT70,BV70,"",1)))</f>
        <v/>
      </c>
      <c r="BV70" s="70" t="str">
        <f t="array" ref="BV70">IFERROR(TRIM(_xlfn.REGEXEXTRACT(BT70,"(\d.+[%]?$|[0-9]|[A-Z]+$)")),"")</f>
        <v/>
      </c>
      <c r="BW70" s="71" t="str">
        <f>IFERROR(VLOOKUP(BU70,'사용자가 입력할 시트'!$AF$2:$AG$60,2,FALSE),BU70)</f>
        <v/>
      </c>
      <c r="BX70" s="72" t="str">
        <f t="array" ref="BX70">IFERROR(TRIM(_xlfn.REGEXEXTRACT(BV70,"(\d+[%]?$|[A-Z]+$)")),"")</f>
        <v/>
      </c>
      <c r="BY70" s="69"/>
      <c r="BZ70" s="70" t="str">
        <f t="shared" ref="BZ70:BZ100" si="97">IF(ISNUMBER(SEARCH("≪",BY70)),BY70,TRIM(SUBSTITUTE(BY70,CA70,"",1)))</f>
        <v/>
      </c>
      <c r="CA70" s="70" t="str">
        <f t="array" ref="CA70">IFERROR(TRIM(_xlfn.REGEXEXTRACT(BY70,"(\d.+[%]?$|[0-9]|[A-Z]+$)")),"")</f>
        <v/>
      </c>
      <c r="CB70" s="71" t="str">
        <f>IFERROR(VLOOKUP(BZ70,'사용자가 입력할 시트'!$AF$2:$AG$60,2,FALSE),BZ70)</f>
        <v/>
      </c>
      <c r="CC70" s="72" t="str">
        <f t="array" ref="CC70">IFERROR(TRIM(_xlfn.REGEXEXTRACT(CA70,"(\d+[%]?$|[A-Z]+$)")),"")</f>
        <v/>
      </c>
    </row>
    <row r="71" spans="2:81">
      <c r="W71" s="2" t="str">
        <f t="shared" ca="1" si="84"/>
        <v/>
      </c>
      <c r="X71" s="2" t="str">
        <f t="shared" ca="1" si="85"/>
        <v/>
      </c>
      <c r="Y71" s="2" t="str">
        <f t="shared" ca="1" si="86"/>
        <v/>
      </c>
      <c r="Z71" s="42" t="str">
        <f t="shared" ref="Z71" ca="1" si="98">IF(W71="","",$W$4&amp;" :"&amp;W71&amp;IF(W71=W72,"","("&amp;W72&amp;")"))</f>
        <v/>
      </c>
      <c r="AF71" s="82"/>
      <c r="AG71" s="70" t="str">
        <f t="shared" si="88"/>
        <v/>
      </c>
      <c r="AH71" s="70" t="str">
        <f t="array" ref="AH71">IFERROR(TRIM(_xlfn.REGEXEXTRACT(AF71,"(\d.+[%]?$|[0-9]|[A-Z]+$)")),"")</f>
        <v/>
      </c>
      <c r="AI71" s="71" t="str">
        <f>IFERROR(VLOOKUP(AG71,'사용자가 입력할 시트'!$AF$2:$AG$60,2,FALSE),AG71)</f>
        <v/>
      </c>
      <c r="AJ71" s="72" t="str">
        <f t="array" ref="AJ71">IFERROR(TRIM(_xlfn.REGEXEXTRACT(AH71,"(\d+[%]?$|[A-Z]+$)")),"")</f>
        <v/>
      </c>
      <c r="AK71" s="82"/>
      <c r="AL71" s="70" t="str">
        <f t="shared" si="89"/>
        <v/>
      </c>
      <c r="AM71" s="70" t="str">
        <f t="array" ref="AM71">IFERROR(TRIM(_xlfn.REGEXEXTRACT(AK71,"(\d.+[%]?$|[0-9]|[A-Z]+$)")),"")</f>
        <v/>
      </c>
      <c r="AN71" s="71" t="str">
        <f>IFERROR(VLOOKUP(AL71,'사용자가 입력할 시트'!$AF$2:$AG$60,2,FALSE),AL71)</f>
        <v/>
      </c>
      <c r="AO71" s="72" t="str">
        <f t="array" ref="AO71">IFERROR(TRIM(_xlfn.REGEXEXTRACT(AM71,"(\d+[%]?$|[A-Z]+$)")),"")</f>
        <v/>
      </c>
      <c r="AP71" s="82"/>
      <c r="AQ71" s="70" t="str">
        <f t="shared" si="90"/>
        <v/>
      </c>
      <c r="AR71" s="70" t="str">
        <f t="array" ref="AR71">IFERROR(TRIM(_xlfn.REGEXEXTRACT(AP71,"(\d.+[%]?$|[0-9]|[A-Z]+$)")),"")</f>
        <v/>
      </c>
      <c r="AS71" s="71" t="str">
        <f>IFERROR(VLOOKUP(AQ71,'사용자가 입력할 시트'!$AF$2:$AG$60,2,FALSE),AQ71)</f>
        <v/>
      </c>
      <c r="AT71" s="72" t="str">
        <f t="array" ref="AT71">IFERROR(TRIM(_xlfn.REGEXEXTRACT(AR71,"(\d+[%]?$|[A-Z]+$)")),"")</f>
        <v/>
      </c>
      <c r="AU71" s="82"/>
      <c r="AV71" s="70" t="str">
        <f t="shared" si="91"/>
        <v/>
      </c>
      <c r="AW71" s="70" t="str">
        <f t="array" ref="AW71">IFERROR(TRIM(_xlfn.REGEXEXTRACT(AU71,"(\d.+[%]?$|[0-9]|[A-Z]+$)")),"")</f>
        <v/>
      </c>
      <c r="AX71" s="71" t="str">
        <f>IFERROR(VLOOKUP(AV71,'사용자가 입력할 시트'!$AF$2:$AG$60,2,FALSE),AV71)</f>
        <v/>
      </c>
      <c r="AY71" s="72" t="str">
        <f t="array" ref="AY71">IFERROR(TRIM(_xlfn.REGEXEXTRACT(AW71,"(\d+[%]?$|[A-Z]+$)")),"")</f>
        <v/>
      </c>
      <c r="AZ71" s="82"/>
      <c r="BA71" s="70" t="str">
        <f t="shared" si="92"/>
        <v/>
      </c>
      <c r="BB71" s="70" t="str">
        <f t="array" ref="BB71">IFERROR(TRIM(_xlfn.REGEXEXTRACT(AZ71,"(\d.+[%]?$|[0-9]|[A-Z]+$)")),"")</f>
        <v/>
      </c>
      <c r="BC71" s="71" t="str">
        <f>IFERROR(VLOOKUP(BA71,'사용자가 입력할 시트'!$AF$2:$AG$60,2,FALSE),BA71)</f>
        <v/>
      </c>
      <c r="BD71" s="72" t="str">
        <f t="array" ref="BD71">IFERROR(TRIM(_xlfn.REGEXEXTRACT(BB71,"(\d+[%]?$|[A-Z]+$)")),"")</f>
        <v/>
      </c>
      <c r="BE71" s="82"/>
      <c r="BF71" s="70" t="str">
        <f t="shared" si="93"/>
        <v/>
      </c>
      <c r="BG71" s="70" t="str">
        <f t="array" ref="BG71">IFERROR(TRIM(_xlfn.REGEXEXTRACT(BE71,"(\d.+[%]?$|[0-9]|[A-Z]+$)")),"")</f>
        <v/>
      </c>
      <c r="BH71" s="71" t="str">
        <f>IFERROR(VLOOKUP(BF71,'사용자가 입력할 시트'!$AF$2:$AG$60,2,FALSE),BF71)</f>
        <v/>
      </c>
      <c r="BI71" s="72" t="str">
        <f t="array" ref="BI71">IFERROR(TRIM(_xlfn.REGEXEXTRACT(BG71,"(\d+[%]?$|[A-Z]+$)")),"")</f>
        <v/>
      </c>
      <c r="BJ71" s="82"/>
      <c r="BK71" s="70" t="str">
        <f t="shared" si="94"/>
        <v/>
      </c>
      <c r="BL71" s="70" t="str">
        <f t="array" ref="BL71">IFERROR(TRIM(_xlfn.REGEXEXTRACT(BJ71,"(\d.+[%]?$|[0-9]|[A-Z]+$)")),"")</f>
        <v/>
      </c>
      <c r="BM71" s="71" t="str">
        <f>IFERROR(VLOOKUP(BK71,'사용자가 입력할 시트'!$AF$2:$AG$60,2,FALSE),BK71)</f>
        <v/>
      </c>
      <c r="BN71" s="72" t="str">
        <f t="array" ref="BN71">IFERROR(TRIM(_xlfn.REGEXEXTRACT(BL71,"(\d+[%]?$|[A-Z]+$)")),"")</f>
        <v/>
      </c>
      <c r="BO71" s="82"/>
      <c r="BP71" s="70" t="str">
        <f t="shared" si="95"/>
        <v/>
      </c>
      <c r="BQ71" s="70" t="str">
        <f t="array" ref="BQ71">IFERROR(TRIM(_xlfn.REGEXEXTRACT(BO71,"(\d.+[%]?$|[0-9]|[A-Z]+$)")),"")</f>
        <v/>
      </c>
      <c r="BR71" s="71" t="str">
        <f>IFERROR(VLOOKUP(BP71,'사용자가 입력할 시트'!$AF$2:$AG$60,2,FALSE),BP71)</f>
        <v/>
      </c>
      <c r="BS71" s="72" t="str">
        <f t="array" ref="BS71">IFERROR(TRIM(_xlfn.REGEXEXTRACT(BQ71,"(\d+[%]?$|[A-Z]+$)")),"")</f>
        <v/>
      </c>
      <c r="BT71" s="82"/>
      <c r="BU71" s="70" t="str">
        <f t="shared" si="96"/>
        <v/>
      </c>
      <c r="BV71" s="70" t="str">
        <f t="array" ref="BV71">IFERROR(TRIM(_xlfn.REGEXEXTRACT(BT71,"(\d.+[%]?$|[0-9]|[A-Z]+$)")),"")</f>
        <v/>
      </c>
      <c r="BW71" s="71" t="str">
        <f>IFERROR(VLOOKUP(BU71,'사용자가 입력할 시트'!$AF$2:$AG$60,2,FALSE),BU71)</f>
        <v/>
      </c>
      <c r="BX71" s="72" t="str">
        <f t="array" ref="BX71">IFERROR(TRIM(_xlfn.REGEXEXTRACT(BV71,"(\d+[%]?$|[A-Z]+$)")),"")</f>
        <v/>
      </c>
      <c r="BY71" s="82"/>
      <c r="BZ71" s="70" t="str">
        <f t="shared" si="97"/>
        <v/>
      </c>
      <c r="CA71" s="70" t="str">
        <f t="array" ref="CA71">IFERROR(TRIM(_xlfn.REGEXEXTRACT(BY71,"(\d.+[%]?$|[0-9]|[A-Z]+$)")),"")</f>
        <v/>
      </c>
      <c r="CB71" s="71" t="str">
        <f>IFERROR(VLOOKUP(BZ71,'사용자가 입력할 시트'!$AF$2:$AG$60,2,FALSE),BZ71)</f>
        <v/>
      </c>
      <c r="CC71" s="72" t="str">
        <f t="array" ref="CC71">IFERROR(TRIM(_xlfn.REGEXEXTRACT(CA71,"(\d+[%]?$|[A-Z]+$)")),"")</f>
        <v/>
      </c>
    </row>
    <row r="72" spans="2:81">
      <c r="W72" s="2" t="str">
        <f t="shared" ca="1" si="84"/>
        <v/>
      </c>
      <c r="X72" s="2" t="str">
        <f t="shared" ca="1" si="85"/>
        <v/>
      </c>
      <c r="Y72" s="2" t="str">
        <f t="shared" ca="1" si="86"/>
        <v/>
      </c>
      <c r="Z72" s="42" t="str">
        <f t="shared" ref="Z72" ca="1" si="99">IF(X71="","",$X$4&amp;" :"&amp;X71&amp;IF(X71=X72,"","("&amp;X72&amp;")"))</f>
        <v/>
      </c>
      <c r="AF72" s="82"/>
      <c r="AG72" s="70" t="str">
        <f t="shared" si="88"/>
        <v/>
      </c>
      <c r="AH72" s="70" t="str">
        <f t="array" ref="AH72">IFERROR(TRIM(_xlfn.REGEXEXTRACT(AF72,"(\d.+[%]?$|[0-9]|[A-Z]+$)")),"")</f>
        <v/>
      </c>
      <c r="AI72" s="71" t="str">
        <f>IFERROR(VLOOKUP(AG72,'사용자가 입력할 시트'!$AF$2:$AG$60,2,FALSE),AG72)</f>
        <v/>
      </c>
      <c r="AJ72" s="72" t="str">
        <f t="array" ref="AJ72">IFERROR(TRIM(_xlfn.REGEXEXTRACT(AH72,"(\d+[%]?$|[A-Z]+$)")),"")</f>
        <v/>
      </c>
      <c r="AK72" s="82"/>
      <c r="AL72" s="70" t="str">
        <f t="shared" si="89"/>
        <v/>
      </c>
      <c r="AM72" s="70" t="str">
        <f t="array" ref="AM72">IFERROR(TRIM(_xlfn.REGEXEXTRACT(AK72,"(\d.+[%]?$|[0-9]|[A-Z]+$)")),"")</f>
        <v/>
      </c>
      <c r="AN72" s="71" t="str">
        <f>IFERROR(VLOOKUP(AL72,'사용자가 입력할 시트'!$AF$2:$AG$60,2,FALSE),AL72)</f>
        <v/>
      </c>
      <c r="AO72" s="72" t="str">
        <f t="array" ref="AO72">IFERROR(TRIM(_xlfn.REGEXEXTRACT(AM72,"(\d+[%]?$|[A-Z]+$)")),"")</f>
        <v/>
      </c>
      <c r="AP72" s="82"/>
      <c r="AQ72" s="70" t="str">
        <f t="shared" si="90"/>
        <v/>
      </c>
      <c r="AR72" s="70" t="str">
        <f t="array" ref="AR72">IFERROR(TRIM(_xlfn.REGEXEXTRACT(AP72,"(\d.+[%]?$|[0-9]|[A-Z]+$)")),"")</f>
        <v/>
      </c>
      <c r="AS72" s="71" t="str">
        <f>IFERROR(VLOOKUP(AQ72,'사용자가 입력할 시트'!$AF$2:$AG$60,2,FALSE),AQ72)</f>
        <v/>
      </c>
      <c r="AT72" s="72" t="str">
        <f t="array" ref="AT72">IFERROR(TRIM(_xlfn.REGEXEXTRACT(AR72,"(\d+[%]?$|[A-Z]+$)")),"")</f>
        <v/>
      </c>
      <c r="AU72" s="82"/>
      <c r="AV72" s="70" t="str">
        <f t="shared" si="91"/>
        <v/>
      </c>
      <c r="AW72" s="70" t="str">
        <f t="array" ref="AW72">IFERROR(TRIM(_xlfn.REGEXEXTRACT(AU72,"(\d.+[%]?$|[0-9]|[A-Z]+$)")),"")</f>
        <v/>
      </c>
      <c r="AX72" s="71" t="str">
        <f>IFERROR(VLOOKUP(AV72,'사용자가 입력할 시트'!$AF$2:$AG$60,2,FALSE),AV72)</f>
        <v/>
      </c>
      <c r="AY72" s="72" t="str">
        <f t="array" ref="AY72">IFERROR(TRIM(_xlfn.REGEXEXTRACT(AW72,"(\d+[%]?$|[A-Z]+$)")),"")</f>
        <v/>
      </c>
      <c r="AZ72" s="82"/>
      <c r="BA72" s="70" t="str">
        <f t="shared" si="92"/>
        <v/>
      </c>
      <c r="BB72" s="70" t="str">
        <f t="array" ref="BB72">IFERROR(TRIM(_xlfn.REGEXEXTRACT(AZ72,"(\d.+[%]?$|[0-9]|[A-Z]+$)")),"")</f>
        <v/>
      </c>
      <c r="BC72" s="71" t="str">
        <f>IFERROR(VLOOKUP(BA72,'사용자가 입력할 시트'!$AF$2:$AG$60,2,FALSE),BA72)</f>
        <v/>
      </c>
      <c r="BD72" s="72" t="str">
        <f t="array" ref="BD72">IFERROR(TRIM(_xlfn.REGEXEXTRACT(BB72,"(\d+[%]?$|[A-Z]+$)")),"")</f>
        <v/>
      </c>
      <c r="BE72" s="82"/>
      <c r="BF72" s="70" t="str">
        <f t="shared" si="93"/>
        <v/>
      </c>
      <c r="BG72" s="70" t="str">
        <f t="array" ref="BG72">IFERROR(TRIM(_xlfn.REGEXEXTRACT(BE72,"(\d.+[%]?$|[0-9]|[A-Z]+$)")),"")</f>
        <v/>
      </c>
      <c r="BH72" s="71" t="str">
        <f>IFERROR(VLOOKUP(BF72,'사용자가 입력할 시트'!$AF$2:$AG$60,2,FALSE),BF72)</f>
        <v/>
      </c>
      <c r="BI72" s="72" t="str">
        <f t="array" ref="BI72">IFERROR(TRIM(_xlfn.REGEXEXTRACT(BG72,"(\d+[%]?$|[A-Z]+$)")),"")</f>
        <v/>
      </c>
      <c r="BJ72" s="82"/>
      <c r="BK72" s="70" t="str">
        <f t="shared" si="94"/>
        <v/>
      </c>
      <c r="BL72" s="70" t="str">
        <f t="array" ref="BL72">IFERROR(TRIM(_xlfn.REGEXEXTRACT(BJ72,"(\d.+[%]?$|[0-9]|[A-Z]+$)")),"")</f>
        <v/>
      </c>
      <c r="BM72" s="71" t="str">
        <f>IFERROR(VLOOKUP(BK72,'사용자가 입력할 시트'!$AF$2:$AG$60,2,FALSE),BK72)</f>
        <v/>
      </c>
      <c r="BN72" s="72" t="str">
        <f t="array" ref="BN72">IFERROR(TRIM(_xlfn.REGEXEXTRACT(BL72,"(\d+[%]?$|[A-Z]+$)")),"")</f>
        <v/>
      </c>
      <c r="BO72" s="82"/>
      <c r="BP72" s="70" t="str">
        <f t="shared" si="95"/>
        <v/>
      </c>
      <c r="BQ72" s="70" t="str">
        <f t="array" ref="BQ72">IFERROR(TRIM(_xlfn.REGEXEXTRACT(BO72,"(\d.+[%]?$|[0-9]|[A-Z]+$)")),"")</f>
        <v/>
      </c>
      <c r="BR72" s="71" t="str">
        <f>IFERROR(VLOOKUP(BP72,'사용자가 입력할 시트'!$AF$2:$AG$60,2,FALSE),BP72)</f>
        <v/>
      </c>
      <c r="BS72" s="72" t="str">
        <f t="array" ref="BS72">IFERROR(TRIM(_xlfn.REGEXEXTRACT(BQ72,"(\d+[%]?$|[A-Z]+$)")),"")</f>
        <v/>
      </c>
      <c r="BT72" s="82"/>
      <c r="BU72" s="70" t="str">
        <f t="shared" si="96"/>
        <v/>
      </c>
      <c r="BV72" s="70" t="str">
        <f t="array" ref="BV72">IFERROR(TRIM(_xlfn.REGEXEXTRACT(BT72,"(\d.+[%]?$|[0-9]|[A-Z]+$)")),"")</f>
        <v/>
      </c>
      <c r="BW72" s="71" t="str">
        <f>IFERROR(VLOOKUP(BU72,'사용자가 입력할 시트'!$AF$2:$AG$60,2,FALSE),BU72)</f>
        <v/>
      </c>
      <c r="BX72" s="72" t="str">
        <f t="array" ref="BX72">IFERROR(TRIM(_xlfn.REGEXEXTRACT(BV72,"(\d+[%]?$|[A-Z]+$)")),"")</f>
        <v/>
      </c>
      <c r="BY72" s="82"/>
      <c r="BZ72" s="70" t="str">
        <f t="shared" si="97"/>
        <v/>
      </c>
      <c r="CA72" s="70" t="str">
        <f t="array" ref="CA72">IFERROR(TRIM(_xlfn.REGEXEXTRACT(BY72,"(\d.+[%]?$|[0-9]|[A-Z]+$)")),"")</f>
        <v/>
      </c>
      <c r="CB72" s="71" t="str">
        <f>IFERROR(VLOOKUP(BZ72,'사용자가 입력할 시트'!$AF$2:$AG$60,2,FALSE),BZ72)</f>
        <v/>
      </c>
      <c r="CC72" s="72" t="str">
        <f t="array" ref="CC72">IFERROR(TRIM(_xlfn.REGEXEXTRACT(CA72,"(\d+[%]?$|[A-Z]+$)")),"")</f>
        <v/>
      </c>
    </row>
    <row r="73" spans="2:81">
      <c r="W73" s="2" t="str">
        <f t="shared" ca="1" si="84"/>
        <v/>
      </c>
      <c r="X73" s="2" t="str">
        <f t="shared" ca="1" si="85"/>
        <v/>
      </c>
      <c r="Y73" s="2" t="str">
        <f t="shared" ca="1" si="86"/>
        <v/>
      </c>
      <c r="Z73" s="42" t="str">
        <f t="shared" ref="Z73" ca="1" si="100">IF(Y71="","",$Y$4&amp;" :"&amp;Y71&amp;IF(Y71=Y72,"","("&amp;Y72&amp;")"))</f>
        <v/>
      </c>
      <c r="AF73" s="69"/>
      <c r="AG73" s="70" t="str">
        <f t="shared" si="88"/>
        <v/>
      </c>
      <c r="AH73" s="70" t="str">
        <f t="array" ref="AH73">IFERROR(TRIM(_xlfn.REGEXEXTRACT(AF73,"(\d.+[%]?$|[0-9]|[A-Z]+$)")),"")</f>
        <v/>
      </c>
      <c r="AI73" s="71" t="str">
        <f>IFERROR(VLOOKUP(AG73,'사용자가 입력할 시트'!$AF$2:$AG$60,2,FALSE),AG73)</f>
        <v/>
      </c>
      <c r="AJ73" s="72" t="str">
        <f t="array" ref="AJ73">IFERROR(TRIM(_xlfn.REGEXEXTRACT(AH73,"(\d+[%]?$|[A-Z]+$)")),"")</f>
        <v/>
      </c>
      <c r="AK73" s="69"/>
      <c r="AL73" s="70" t="str">
        <f t="shared" si="89"/>
        <v/>
      </c>
      <c r="AM73" s="70" t="str">
        <f t="array" ref="AM73">IFERROR(TRIM(_xlfn.REGEXEXTRACT(AK73,"(\d.+[%]?$|[0-9]|[A-Z]+$)")),"")</f>
        <v/>
      </c>
      <c r="AN73" s="71" t="str">
        <f>IFERROR(VLOOKUP(AL73,'사용자가 입력할 시트'!$AF$2:$AG$60,2,FALSE),AL73)</f>
        <v/>
      </c>
      <c r="AO73" s="72" t="str">
        <f t="array" ref="AO73">IFERROR(TRIM(_xlfn.REGEXEXTRACT(AM73,"(\d+[%]?$|[A-Z]+$)")),"")</f>
        <v/>
      </c>
      <c r="AP73" s="69"/>
      <c r="AQ73" s="70" t="str">
        <f t="shared" si="90"/>
        <v/>
      </c>
      <c r="AR73" s="70" t="str">
        <f t="array" ref="AR73">IFERROR(TRIM(_xlfn.REGEXEXTRACT(AP73,"(\d.+[%]?$|[0-9]|[A-Z]+$)")),"")</f>
        <v/>
      </c>
      <c r="AS73" s="71" t="str">
        <f>IFERROR(VLOOKUP(AQ73,'사용자가 입력할 시트'!$AF$2:$AG$60,2,FALSE),AQ73)</f>
        <v/>
      </c>
      <c r="AT73" s="72" t="str">
        <f t="array" ref="AT73">IFERROR(TRIM(_xlfn.REGEXEXTRACT(AR73,"(\d+[%]?$|[A-Z]+$)")),"")</f>
        <v/>
      </c>
      <c r="AU73" s="69"/>
      <c r="AV73" s="70" t="str">
        <f t="shared" si="91"/>
        <v/>
      </c>
      <c r="AW73" s="70" t="str">
        <f t="array" ref="AW73">IFERROR(TRIM(_xlfn.REGEXEXTRACT(AU73,"(\d.+[%]?$|[0-9]|[A-Z]+$)")),"")</f>
        <v/>
      </c>
      <c r="AX73" s="71" t="str">
        <f>IFERROR(VLOOKUP(AV73,'사용자가 입력할 시트'!$AF$2:$AG$60,2,FALSE),AV73)</f>
        <v/>
      </c>
      <c r="AY73" s="72" t="str">
        <f t="array" ref="AY73">IFERROR(TRIM(_xlfn.REGEXEXTRACT(AW73,"(\d+[%]?$|[A-Z]+$)")),"")</f>
        <v/>
      </c>
      <c r="AZ73" s="69"/>
      <c r="BA73" s="70" t="str">
        <f t="shared" si="92"/>
        <v/>
      </c>
      <c r="BB73" s="70" t="str">
        <f t="array" ref="BB73">IFERROR(TRIM(_xlfn.REGEXEXTRACT(AZ73,"(\d.+[%]?$|[0-9]|[A-Z]+$)")),"")</f>
        <v/>
      </c>
      <c r="BC73" s="71" t="str">
        <f>IFERROR(VLOOKUP(BA73,'사용자가 입력할 시트'!$AF$2:$AG$60,2,FALSE),BA73)</f>
        <v/>
      </c>
      <c r="BD73" s="72" t="str">
        <f t="array" ref="BD73">IFERROR(TRIM(_xlfn.REGEXEXTRACT(BB73,"(\d+[%]?$|[A-Z]+$)")),"")</f>
        <v/>
      </c>
      <c r="BE73" s="69"/>
      <c r="BF73" s="70" t="str">
        <f t="shared" si="93"/>
        <v/>
      </c>
      <c r="BG73" s="70" t="str">
        <f t="array" ref="BG73">IFERROR(TRIM(_xlfn.REGEXEXTRACT(BE73,"(\d.+[%]?$|[0-9]|[A-Z]+$)")),"")</f>
        <v/>
      </c>
      <c r="BH73" s="71" t="str">
        <f>IFERROR(VLOOKUP(BF73,'사용자가 입력할 시트'!$AF$2:$AG$60,2,FALSE),BF73)</f>
        <v/>
      </c>
      <c r="BI73" s="72" t="str">
        <f t="array" ref="BI73">IFERROR(TRIM(_xlfn.REGEXEXTRACT(BG73,"(\d+[%]?$|[A-Z]+$)")),"")</f>
        <v/>
      </c>
      <c r="BJ73" s="69"/>
      <c r="BK73" s="70" t="str">
        <f t="shared" si="94"/>
        <v/>
      </c>
      <c r="BL73" s="70" t="str">
        <f t="array" ref="BL73">IFERROR(TRIM(_xlfn.REGEXEXTRACT(BJ73,"(\d.+[%]?$|[0-9]|[A-Z]+$)")),"")</f>
        <v/>
      </c>
      <c r="BM73" s="71" t="str">
        <f>IFERROR(VLOOKUP(BK73,'사용자가 입력할 시트'!$AF$2:$AG$60,2,FALSE),BK73)</f>
        <v/>
      </c>
      <c r="BN73" s="72" t="str">
        <f t="array" ref="BN73">IFERROR(TRIM(_xlfn.REGEXEXTRACT(BL73,"(\d+[%]?$|[A-Z]+$)")),"")</f>
        <v/>
      </c>
      <c r="BO73" s="69"/>
      <c r="BP73" s="70" t="str">
        <f t="shared" si="95"/>
        <v/>
      </c>
      <c r="BQ73" s="70" t="str">
        <f t="array" ref="BQ73">IFERROR(TRIM(_xlfn.REGEXEXTRACT(BO73,"(\d.+[%]?$|[0-9]|[A-Z]+$)")),"")</f>
        <v/>
      </c>
      <c r="BR73" s="71" t="str">
        <f>IFERROR(VLOOKUP(BP73,'사용자가 입력할 시트'!$AF$2:$AG$60,2,FALSE),BP73)</f>
        <v/>
      </c>
      <c r="BS73" s="72" t="str">
        <f t="array" ref="BS73">IFERROR(TRIM(_xlfn.REGEXEXTRACT(BQ73,"(\d+[%]?$|[A-Z]+$)")),"")</f>
        <v/>
      </c>
      <c r="BT73" s="69"/>
      <c r="BU73" s="70" t="str">
        <f t="shared" si="96"/>
        <v/>
      </c>
      <c r="BV73" s="70" t="str">
        <f t="array" ref="BV73">IFERROR(TRIM(_xlfn.REGEXEXTRACT(BT73,"(\d.+[%]?$|[0-9]|[A-Z]+$)")),"")</f>
        <v/>
      </c>
      <c r="BW73" s="71" t="str">
        <f>IFERROR(VLOOKUP(BU73,'사용자가 입력할 시트'!$AF$2:$AG$60,2,FALSE),BU73)</f>
        <v/>
      </c>
      <c r="BX73" s="72" t="str">
        <f t="array" ref="BX73">IFERROR(TRIM(_xlfn.REGEXEXTRACT(BV73,"(\d+[%]?$|[A-Z]+$)")),"")</f>
        <v/>
      </c>
      <c r="BY73" s="69"/>
      <c r="BZ73" s="70" t="str">
        <f t="shared" si="97"/>
        <v/>
      </c>
      <c r="CA73" s="70" t="str">
        <f t="array" ref="CA73">IFERROR(TRIM(_xlfn.REGEXEXTRACT(BY73,"(\d.+[%]?$|[0-9]|[A-Z]+$)")),"")</f>
        <v/>
      </c>
      <c r="CB73" s="71" t="str">
        <f>IFERROR(VLOOKUP(BZ73,'사용자가 입력할 시트'!$AF$2:$AG$60,2,FALSE),BZ73)</f>
        <v/>
      </c>
      <c r="CC73" s="72" t="str">
        <f t="array" ref="CC73">IFERROR(TRIM(_xlfn.REGEXEXTRACT(CA73,"(\d+[%]?$|[A-Z]+$)")),"")</f>
        <v/>
      </c>
    </row>
    <row r="74" spans="2:81">
      <c r="W74" s="2" t="str">
        <f t="shared" ca="1" si="84"/>
        <v/>
      </c>
      <c r="X74" s="2" t="str">
        <f t="shared" ca="1" si="85"/>
        <v/>
      </c>
      <c r="Y74" s="2" t="str">
        <f t="shared" ca="1" si="86"/>
        <v/>
      </c>
      <c r="Z74" s="42" t="str">
        <f t="shared" ref="Z74" ca="1" si="101">IF(W74="","",$W$4&amp;" :"&amp;W74&amp;IF(W74=W75,"","("&amp;W75&amp;")"))</f>
        <v/>
      </c>
      <c r="AF74" s="69"/>
      <c r="AG74" s="70" t="str">
        <f t="shared" si="88"/>
        <v/>
      </c>
      <c r="AH74" s="70" t="str">
        <f t="array" ref="AH74">IFERROR(TRIM(_xlfn.REGEXEXTRACT(AF74,"(\d.+[%]?$|[0-9]|[A-Z]+$)")),"")</f>
        <v/>
      </c>
      <c r="AI74" s="71" t="str">
        <f>IFERROR(VLOOKUP(AG74,'사용자가 입력할 시트'!$AF$2:$AG$60,2,FALSE),AG74)</f>
        <v/>
      </c>
      <c r="AJ74" s="72" t="str">
        <f t="array" ref="AJ74">IFERROR(TRIM(_xlfn.REGEXEXTRACT(AH74,"(\d+[%]?$|[A-Z]+$)")),"")</f>
        <v/>
      </c>
      <c r="AK74" s="69"/>
      <c r="AL74" s="70" t="str">
        <f t="shared" si="89"/>
        <v/>
      </c>
      <c r="AM74" s="70" t="str">
        <f t="array" ref="AM74">IFERROR(TRIM(_xlfn.REGEXEXTRACT(AK74,"(\d.+[%]?$|[0-9]|[A-Z]+$)")),"")</f>
        <v/>
      </c>
      <c r="AN74" s="71" t="str">
        <f>IFERROR(VLOOKUP(AL74,'사용자가 입력할 시트'!$AF$2:$AG$60,2,FALSE),AL74)</f>
        <v/>
      </c>
      <c r="AO74" s="72" t="str">
        <f t="array" ref="AO74">IFERROR(TRIM(_xlfn.REGEXEXTRACT(AM74,"(\d+[%]?$|[A-Z]+$)")),"")</f>
        <v/>
      </c>
      <c r="AP74" s="69"/>
      <c r="AQ74" s="70" t="str">
        <f t="shared" si="90"/>
        <v/>
      </c>
      <c r="AR74" s="70" t="str">
        <f t="array" ref="AR74">IFERROR(TRIM(_xlfn.REGEXEXTRACT(AP74,"(\d.+[%]?$|[0-9]|[A-Z]+$)")),"")</f>
        <v/>
      </c>
      <c r="AS74" s="71" t="str">
        <f>IFERROR(VLOOKUP(AQ74,'사용자가 입력할 시트'!$AF$2:$AG$60,2,FALSE),AQ74)</f>
        <v/>
      </c>
      <c r="AT74" s="72" t="str">
        <f t="array" ref="AT74">IFERROR(TRIM(_xlfn.REGEXEXTRACT(AR74,"(\d+[%]?$|[A-Z]+$)")),"")</f>
        <v/>
      </c>
      <c r="AU74" s="69"/>
      <c r="AV74" s="70" t="str">
        <f t="shared" si="91"/>
        <v/>
      </c>
      <c r="AW74" s="70" t="str">
        <f t="array" ref="AW74">IFERROR(TRIM(_xlfn.REGEXEXTRACT(AU74,"(\d.+[%]?$|[0-9]|[A-Z]+$)")),"")</f>
        <v/>
      </c>
      <c r="AX74" s="71" t="str">
        <f>IFERROR(VLOOKUP(AV74,'사용자가 입력할 시트'!$AF$2:$AG$60,2,FALSE),AV74)</f>
        <v/>
      </c>
      <c r="AY74" s="72" t="str">
        <f t="array" ref="AY74">IFERROR(TRIM(_xlfn.REGEXEXTRACT(AW74,"(\d+[%]?$|[A-Z]+$)")),"")</f>
        <v/>
      </c>
      <c r="AZ74" s="69"/>
      <c r="BA74" s="70" t="str">
        <f t="shared" si="92"/>
        <v/>
      </c>
      <c r="BB74" s="70" t="str">
        <f t="array" ref="BB74">IFERROR(TRIM(_xlfn.REGEXEXTRACT(AZ74,"(\d.+[%]?$|[0-9]|[A-Z]+$)")),"")</f>
        <v/>
      </c>
      <c r="BC74" s="71" t="str">
        <f>IFERROR(VLOOKUP(BA74,'사용자가 입력할 시트'!$AF$2:$AG$60,2,FALSE),BA74)</f>
        <v/>
      </c>
      <c r="BD74" s="72" t="str">
        <f t="array" ref="BD74">IFERROR(TRIM(_xlfn.REGEXEXTRACT(BB74,"(\d+[%]?$|[A-Z]+$)")),"")</f>
        <v/>
      </c>
      <c r="BE74" s="69"/>
      <c r="BF74" s="70" t="str">
        <f t="shared" si="93"/>
        <v/>
      </c>
      <c r="BG74" s="70" t="str">
        <f t="array" ref="BG74">IFERROR(TRIM(_xlfn.REGEXEXTRACT(BE74,"(\d.+[%]?$|[0-9]|[A-Z]+$)")),"")</f>
        <v/>
      </c>
      <c r="BH74" s="71" t="str">
        <f>IFERROR(VLOOKUP(BF74,'사용자가 입력할 시트'!$AF$2:$AG$60,2,FALSE),BF74)</f>
        <v/>
      </c>
      <c r="BI74" s="72" t="str">
        <f t="array" ref="BI74">IFERROR(TRIM(_xlfn.REGEXEXTRACT(BG74,"(\d+[%]?$|[A-Z]+$)")),"")</f>
        <v/>
      </c>
      <c r="BJ74" s="69"/>
      <c r="BK74" s="70" t="str">
        <f t="shared" si="94"/>
        <v/>
      </c>
      <c r="BL74" s="70" t="str">
        <f t="array" ref="BL74">IFERROR(TRIM(_xlfn.REGEXEXTRACT(BJ74,"(\d.+[%]?$|[0-9]|[A-Z]+$)")),"")</f>
        <v/>
      </c>
      <c r="BM74" s="71" t="str">
        <f>IFERROR(VLOOKUP(BK74,'사용자가 입력할 시트'!$AF$2:$AG$60,2,FALSE),BK74)</f>
        <v/>
      </c>
      <c r="BN74" s="72" t="str">
        <f t="array" ref="BN74">IFERROR(TRIM(_xlfn.REGEXEXTRACT(BL74,"(\d+[%]?$|[A-Z]+$)")),"")</f>
        <v/>
      </c>
      <c r="BO74" s="69"/>
      <c r="BP74" s="70" t="str">
        <f t="shared" si="95"/>
        <v/>
      </c>
      <c r="BQ74" s="70" t="str">
        <f t="array" ref="BQ74">IFERROR(TRIM(_xlfn.REGEXEXTRACT(BO74,"(\d.+[%]?$|[0-9]|[A-Z]+$)")),"")</f>
        <v/>
      </c>
      <c r="BR74" s="71" t="str">
        <f>IFERROR(VLOOKUP(BP74,'사용자가 입력할 시트'!$AF$2:$AG$60,2,FALSE),BP74)</f>
        <v/>
      </c>
      <c r="BS74" s="72" t="str">
        <f t="array" ref="BS74">IFERROR(TRIM(_xlfn.REGEXEXTRACT(BQ74,"(\d+[%]?$|[A-Z]+$)")),"")</f>
        <v/>
      </c>
      <c r="BT74" s="69"/>
      <c r="BU74" s="70" t="str">
        <f t="shared" si="96"/>
        <v/>
      </c>
      <c r="BV74" s="70" t="str">
        <f t="array" ref="BV74">IFERROR(TRIM(_xlfn.REGEXEXTRACT(BT74,"(\d.+[%]?$|[0-9]|[A-Z]+$)")),"")</f>
        <v/>
      </c>
      <c r="BW74" s="71" t="str">
        <f>IFERROR(VLOOKUP(BU74,'사용자가 입력할 시트'!$AF$2:$AG$60,2,FALSE),BU74)</f>
        <v/>
      </c>
      <c r="BX74" s="72" t="str">
        <f t="array" ref="BX74">IFERROR(TRIM(_xlfn.REGEXEXTRACT(BV74,"(\d+[%]?$|[A-Z]+$)")),"")</f>
        <v/>
      </c>
      <c r="BY74" s="69"/>
      <c r="BZ74" s="70" t="str">
        <f t="shared" si="97"/>
        <v/>
      </c>
      <c r="CA74" s="70" t="str">
        <f t="array" ref="CA74">IFERROR(TRIM(_xlfn.REGEXEXTRACT(BY74,"(\d.+[%]?$|[0-9]|[A-Z]+$)")),"")</f>
        <v/>
      </c>
      <c r="CB74" s="71" t="str">
        <f>IFERROR(VLOOKUP(BZ74,'사용자가 입력할 시트'!$AF$2:$AG$60,2,FALSE),BZ74)</f>
        <v/>
      </c>
      <c r="CC74" s="72" t="str">
        <f t="array" ref="CC74">IFERROR(TRIM(_xlfn.REGEXEXTRACT(CA74,"(\d+[%]?$|[A-Z]+$)")),"")</f>
        <v/>
      </c>
    </row>
    <row r="75" spans="2:81">
      <c r="W75" s="2" t="str">
        <f t="shared" ca="1" si="84"/>
        <v/>
      </c>
      <c r="X75" s="2" t="str">
        <f t="shared" ca="1" si="85"/>
        <v/>
      </c>
      <c r="Y75" s="2" t="str">
        <f t="shared" ca="1" si="86"/>
        <v/>
      </c>
      <c r="Z75" s="42" t="str">
        <f t="shared" ref="Z75" ca="1" si="102">IF(X74="","",$X$4&amp;" :"&amp;X74&amp;IF(X74=X75,"","("&amp;X75&amp;")"))</f>
        <v/>
      </c>
      <c r="AF75" s="69"/>
      <c r="AG75" s="70" t="str">
        <f t="shared" si="88"/>
        <v/>
      </c>
      <c r="AH75" s="70" t="str">
        <f t="array" ref="AH75">IFERROR(TRIM(_xlfn.REGEXEXTRACT(AF75,"(\d.+[%]?$|[0-9]|[A-Z]+$)")),"")</f>
        <v/>
      </c>
      <c r="AI75" s="71" t="str">
        <f>IFERROR(VLOOKUP(AG75,'사용자가 입력할 시트'!$AF$2:$AG$60,2,FALSE),AG75)</f>
        <v/>
      </c>
      <c r="AJ75" s="72" t="str">
        <f t="array" ref="AJ75">IFERROR(TRIM(_xlfn.REGEXEXTRACT(AH75,"(\d+[%]?$|[A-Z]+$)")),"")</f>
        <v/>
      </c>
      <c r="AK75" s="69"/>
      <c r="AL75" s="70" t="str">
        <f t="shared" si="89"/>
        <v/>
      </c>
      <c r="AM75" s="70" t="str">
        <f t="array" ref="AM75">IFERROR(TRIM(_xlfn.REGEXEXTRACT(AK75,"(\d.+[%]?$|[0-9]|[A-Z]+$)")),"")</f>
        <v/>
      </c>
      <c r="AN75" s="71" t="str">
        <f>IFERROR(VLOOKUP(AL75,'사용자가 입력할 시트'!$AF$2:$AG$60,2,FALSE),AL75)</f>
        <v/>
      </c>
      <c r="AO75" s="72" t="str">
        <f t="array" ref="AO75">IFERROR(TRIM(_xlfn.REGEXEXTRACT(AM75,"(\d+[%]?$|[A-Z]+$)")),"")</f>
        <v/>
      </c>
      <c r="AP75" s="69"/>
      <c r="AQ75" s="70" t="str">
        <f t="shared" si="90"/>
        <v/>
      </c>
      <c r="AR75" s="70" t="str">
        <f t="array" ref="AR75">IFERROR(TRIM(_xlfn.REGEXEXTRACT(AP75,"(\d.+[%]?$|[0-9]|[A-Z]+$)")),"")</f>
        <v/>
      </c>
      <c r="AS75" s="71" t="str">
        <f>IFERROR(VLOOKUP(AQ75,'사용자가 입력할 시트'!$AF$2:$AG$60,2,FALSE),AQ75)</f>
        <v/>
      </c>
      <c r="AT75" s="72" t="str">
        <f t="array" ref="AT75">IFERROR(TRIM(_xlfn.REGEXEXTRACT(AR75,"(\d+[%]?$|[A-Z]+$)")),"")</f>
        <v/>
      </c>
      <c r="AU75" s="69"/>
      <c r="AV75" s="70" t="str">
        <f t="shared" si="91"/>
        <v/>
      </c>
      <c r="AW75" s="70" t="str">
        <f t="array" ref="AW75">IFERROR(TRIM(_xlfn.REGEXEXTRACT(AU75,"(\d.+[%]?$|[0-9]|[A-Z]+$)")),"")</f>
        <v/>
      </c>
      <c r="AX75" s="71" t="str">
        <f>IFERROR(VLOOKUP(AV75,'사용자가 입력할 시트'!$AF$2:$AG$60,2,FALSE),AV75)</f>
        <v/>
      </c>
      <c r="AY75" s="72" t="str">
        <f t="array" ref="AY75">IFERROR(TRIM(_xlfn.REGEXEXTRACT(AW75,"(\d+[%]?$|[A-Z]+$)")),"")</f>
        <v/>
      </c>
      <c r="AZ75" s="69"/>
      <c r="BA75" s="70" t="str">
        <f t="shared" si="92"/>
        <v/>
      </c>
      <c r="BB75" s="70" t="str">
        <f t="array" ref="BB75">IFERROR(TRIM(_xlfn.REGEXEXTRACT(AZ75,"(\d.+[%]?$|[0-9]|[A-Z]+$)")),"")</f>
        <v/>
      </c>
      <c r="BC75" s="71" t="str">
        <f>IFERROR(VLOOKUP(BA75,'사용자가 입력할 시트'!$AF$2:$AG$60,2,FALSE),BA75)</f>
        <v/>
      </c>
      <c r="BD75" s="72" t="str">
        <f t="array" ref="BD75">IFERROR(TRIM(_xlfn.REGEXEXTRACT(BB75,"(\d+[%]?$|[A-Z]+$)")),"")</f>
        <v/>
      </c>
      <c r="BE75" s="69"/>
      <c r="BF75" s="70" t="str">
        <f t="shared" si="93"/>
        <v/>
      </c>
      <c r="BG75" s="70" t="str">
        <f t="array" ref="BG75">IFERROR(TRIM(_xlfn.REGEXEXTRACT(BE75,"(\d.+[%]?$|[0-9]|[A-Z]+$)")),"")</f>
        <v/>
      </c>
      <c r="BH75" s="71" t="str">
        <f>IFERROR(VLOOKUP(BF75,'사용자가 입력할 시트'!$AF$2:$AG$60,2,FALSE),BF75)</f>
        <v/>
      </c>
      <c r="BI75" s="72" t="str">
        <f t="array" ref="BI75">IFERROR(TRIM(_xlfn.REGEXEXTRACT(BG75,"(\d+[%]?$|[A-Z]+$)")),"")</f>
        <v/>
      </c>
      <c r="BJ75" s="69"/>
      <c r="BK75" s="70" t="str">
        <f t="shared" si="94"/>
        <v/>
      </c>
      <c r="BL75" s="70" t="str">
        <f t="array" ref="BL75">IFERROR(TRIM(_xlfn.REGEXEXTRACT(BJ75,"(\d.+[%]?$|[0-9]|[A-Z]+$)")),"")</f>
        <v/>
      </c>
      <c r="BM75" s="71" t="str">
        <f>IFERROR(VLOOKUP(BK75,'사용자가 입력할 시트'!$AF$2:$AG$60,2,FALSE),BK75)</f>
        <v/>
      </c>
      <c r="BN75" s="72" t="str">
        <f t="array" ref="BN75">IFERROR(TRIM(_xlfn.REGEXEXTRACT(BL75,"(\d+[%]?$|[A-Z]+$)")),"")</f>
        <v/>
      </c>
      <c r="BO75" s="69"/>
      <c r="BP75" s="70" t="str">
        <f t="shared" si="95"/>
        <v/>
      </c>
      <c r="BQ75" s="70" t="str">
        <f t="array" ref="BQ75">IFERROR(TRIM(_xlfn.REGEXEXTRACT(BO75,"(\d.+[%]?$|[0-9]|[A-Z]+$)")),"")</f>
        <v/>
      </c>
      <c r="BR75" s="71" t="str">
        <f>IFERROR(VLOOKUP(BP75,'사용자가 입력할 시트'!$AF$2:$AG$60,2,FALSE),BP75)</f>
        <v/>
      </c>
      <c r="BS75" s="72" t="str">
        <f t="array" ref="BS75">IFERROR(TRIM(_xlfn.REGEXEXTRACT(BQ75,"(\d+[%]?$|[A-Z]+$)")),"")</f>
        <v/>
      </c>
      <c r="BT75" s="69"/>
      <c r="BU75" s="70" t="str">
        <f t="shared" si="96"/>
        <v/>
      </c>
      <c r="BV75" s="70" t="str">
        <f t="array" ref="BV75">IFERROR(TRIM(_xlfn.REGEXEXTRACT(BT75,"(\d.+[%]?$|[0-9]|[A-Z]+$)")),"")</f>
        <v/>
      </c>
      <c r="BW75" s="71" t="str">
        <f>IFERROR(VLOOKUP(BU75,'사용자가 입력할 시트'!$AF$2:$AG$60,2,FALSE),BU75)</f>
        <v/>
      </c>
      <c r="BX75" s="72" t="str">
        <f t="array" ref="BX75">IFERROR(TRIM(_xlfn.REGEXEXTRACT(BV75,"(\d+[%]?$|[A-Z]+$)")),"")</f>
        <v/>
      </c>
      <c r="BY75" s="69"/>
      <c r="BZ75" s="70" t="str">
        <f t="shared" si="97"/>
        <v/>
      </c>
      <c r="CA75" s="70" t="str">
        <f t="array" ref="CA75">IFERROR(TRIM(_xlfn.REGEXEXTRACT(BY75,"(\d.+[%]?$|[0-9]|[A-Z]+$)")),"")</f>
        <v/>
      </c>
      <c r="CB75" s="71" t="str">
        <f>IFERROR(VLOOKUP(BZ75,'사용자가 입력할 시트'!$AF$2:$AG$60,2,FALSE),BZ75)</f>
        <v/>
      </c>
      <c r="CC75" s="72" t="str">
        <f t="array" ref="CC75">IFERROR(TRIM(_xlfn.REGEXEXTRACT(CA75,"(\d+[%]?$|[A-Z]+$)")),"")</f>
        <v/>
      </c>
    </row>
    <row r="76" spans="2:81">
      <c r="W76" s="2" t="str">
        <f t="shared" ca="1" si="84"/>
        <v/>
      </c>
      <c r="X76" s="2" t="str">
        <f t="shared" ca="1" si="85"/>
        <v/>
      </c>
      <c r="Y76" s="2" t="str">
        <f t="shared" ca="1" si="86"/>
        <v/>
      </c>
      <c r="Z76" s="42" t="str">
        <f t="shared" ref="Z76" ca="1" si="103">IF(Y74="","",$Y$4&amp;" :"&amp;Y74&amp;IF(Y74=Y75,"","("&amp;Y75&amp;")"))</f>
        <v/>
      </c>
      <c r="AF76" s="82"/>
      <c r="AG76" s="70" t="str">
        <f t="shared" si="88"/>
        <v/>
      </c>
      <c r="AH76" s="70" t="str">
        <f t="array" ref="AH76">IFERROR(TRIM(_xlfn.REGEXEXTRACT(AF76,"(\d.+[%]?$|[0-9]|[A-Z]+$)")),"")</f>
        <v/>
      </c>
      <c r="AI76" s="71" t="str">
        <f>IFERROR(VLOOKUP(AG76,'사용자가 입력할 시트'!$AF$2:$AG$60,2,FALSE),AG76)</f>
        <v/>
      </c>
      <c r="AJ76" s="72" t="str">
        <f t="array" ref="AJ76">IFERROR(TRIM(_xlfn.REGEXEXTRACT(AH76,"(\d+[%]?$|[A-Z]+$)")),"")</f>
        <v/>
      </c>
      <c r="AK76" s="82"/>
      <c r="AL76" s="70" t="str">
        <f t="shared" si="89"/>
        <v/>
      </c>
      <c r="AM76" s="70" t="str">
        <f t="array" ref="AM76">IFERROR(TRIM(_xlfn.REGEXEXTRACT(AK76,"(\d.+[%]?$|[0-9]|[A-Z]+$)")),"")</f>
        <v/>
      </c>
      <c r="AN76" s="71" t="str">
        <f>IFERROR(VLOOKUP(AL76,'사용자가 입력할 시트'!$AF$2:$AG$60,2,FALSE),AL76)</f>
        <v/>
      </c>
      <c r="AO76" s="72" t="str">
        <f t="array" ref="AO76">IFERROR(TRIM(_xlfn.REGEXEXTRACT(AM76,"(\d+[%]?$|[A-Z]+$)")),"")</f>
        <v/>
      </c>
      <c r="AP76" s="82"/>
      <c r="AQ76" s="70" t="str">
        <f t="shared" si="90"/>
        <v/>
      </c>
      <c r="AR76" s="70" t="str">
        <f t="array" ref="AR76">IFERROR(TRIM(_xlfn.REGEXEXTRACT(AP76,"(\d.+[%]?$|[0-9]|[A-Z]+$)")),"")</f>
        <v/>
      </c>
      <c r="AS76" s="71" t="str">
        <f>IFERROR(VLOOKUP(AQ76,'사용자가 입력할 시트'!$AF$2:$AG$60,2,FALSE),AQ76)</f>
        <v/>
      </c>
      <c r="AT76" s="72" t="str">
        <f t="array" ref="AT76">IFERROR(TRIM(_xlfn.REGEXEXTRACT(AR76,"(\d+[%]?$|[A-Z]+$)")),"")</f>
        <v/>
      </c>
      <c r="AU76" s="82"/>
      <c r="AV76" s="70" t="str">
        <f t="shared" si="91"/>
        <v/>
      </c>
      <c r="AW76" s="70" t="str">
        <f t="array" ref="AW76">IFERROR(TRIM(_xlfn.REGEXEXTRACT(AU76,"(\d.+[%]?$|[0-9]|[A-Z]+$)")),"")</f>
        <v/>
      </c>
      <c r="AX76" s="71" t="str">
        <f>IFERROR(VLOOKUP(AV76,'사용자가 입력할 시트'!$AF$2:$AG$60,2,FALSE),AV76)</f>
        <v/>
      </c>
      <c r="AY76" s="72" t="str">
        <f t="array" ref="AY76">IFERROR(TRIM(_xlfn.REGEXEXTRACT(AW76,"(\d+[%]?$|[A-Z]+$)")),"")</f>
        <v/>
      </c>
      <c r="AZ76" s="82"/>
      <c r="BA76" s="70" t="str">
        <f t="shared" si="92"/>
        <v/>
      </c>
      <c r="BB76" s="70" t="str">
        <f t="array" ref="BB76">IFERROR(TRIM(_xlfn.REGEXEXTRACT(AZ76,"(\d.+[%]?$|[0-9]|[A-Z]+$)")),"")</f>
        <v/>
      </c>
      <c r="BC76" s="71" t="str">
        <f>IFERROR(VLOOKUP(BA76,'사용자가 입력할 시트'!$AF$2:$AG$60,2,FALSE),BA76)</f>
        <v/>
      </c>
      <c r="BD76" s="72" t="str">
        <f t="array" ref="BD76">IFERROR(TRIM(_xlfn.REGEXEXTRACT(BB76,"(\d+[%]?$|[A-Z]+$)")),"")</f>
        <v/>
      </c>
      <c r="BE76" s="82"/>
      <c r="BF76" s="70" t="str">
        <f t="shared" si="93"/>
        <v/>
      </c>
      <c r="BG76" s="70" t="str">
        <f t="array" ref="BG76">IFERROR(TRIM(_xlfn.REGEXEXTRACT(BE76,"(\d.+[%]?$|[0-9]|[A-Z]+$)")),"")</f>
        <v/>
      </c>
      <c r="BH76" s="71" t="str">
        <f>IFERROR(VLOOKUP(BF76,'사용자가 입력할 시트'!$AF$2:$AG$60,2,FALSE),BF76)</f>
        <v/>
      </c>
      <c r="BI76" s="72" t="str">
        <f t="array" ref="BI76">IFERROR(TRIM(_xlfn.REGEXEXTRACT(BG76,"(\d+[%]?$|[A-Z]+$)")),"")</f>
        <v/>
      </c>
      <c r="BJ76" s="82"/>
      <c r="BK76" s="70" t="str">
        <f t="shared" si="94"/>
        <v/>
      </c>
      <c r="BL76" s="70" t="str">
        <f t="array" ref="BL76">IFERROR(TRIM(_xlfn.REGEXEXTRACT(BJ76,"(\d.+[%]?$|[0-9]|[A-Z]+$)")),"")</f>
        <v/>
      </c>
      <c r="BM76" s="71" t="str">
        <f>IFERROR(VLOOKUP(BK76,'사용자가 입력할 시트'!$AF$2:$AG$60,2,FALSE),BK76)</f>
        <v/>
      </c>
      <c r="BN76" s="72" t="str">
        <f t="array" ref="BN76">IFERROR(TRIM(_xlfn.REGEXEXTRACT(BL76,"(\d+[%]?$|[A-Z]+$)")),"")</f>
        <v/>
      </c>
      <c r="BO76" s="82"/>
      <c r="BP76" s="70" t="str">
        <f t="shared" si="95"/>
        <v/>
      </c>
      <c r="BQ76" s="70" t="str">
        <f t="array" ref="BQ76">IFERROR(TRIM(_xlfn.REGEXEXTRACT(BO76,"(\d.+[%]?$|[0-9]|[A-Z]+$)")),"")</f>
        <v/>
      </c>
      <c r="BR76" s="71" t="str">
        <f>IFERROR(VLOOKUP(BP76,'사용자가 입력할 시트'!$AF$2:$AG$60,2,FALSE),BP76)</f>
        <v/>
      </c>
      <c r="BS76" s="72" t="str">
        <f t="array" ref="BS76">IFERROR(TRIM(_xlfn.REGEXEXTRACT(BQ76,"(\d+[%]?$|[A-Z]+$)")),"")</f>
        <v/>
      </c>
      <c r="BT76" s="82"/>
      <c r="BU76" s="70" t="str">
        <f t="shared" si="96"/>
        <v/>
      </c>
      <c r="BV76" s="70" t="str">
        <f t="array" ref="BV76">IFERROR(TRIM(_xlfn.REGEXEXTRACT(BT76,"(\d.+[%]?$|[0-9]|[A-Z]+$)")),"")</f>
        <v/>
      </c>
      <c r="BW76" s="71" t="str">
        <f>IFERROR(VLOOKUP(BU76,'사용자가 입력할 시트'!$AF$2:$AG$60,2,FALSE),BU76)</f>
        <v/>
      </c>
      <c r="BX76" s="72" t="str">
        <f t="array" ref="BX76">IFERROR(TRIM(_xlfn.REGEXEXTRACT(BV76,"(\d+[%]?$|[A-Z]+$)")),"")</f>
        <v/>
      </c>
      <c r="BY76" s="82"/>
      <c r="BZ76" s="70" t="str">
        <f t="shared" si="97"/>
        <v/>
      </c>
      <c r="CA76" s="70" t="str">
        <f t="array" ref="CA76">IFERROR(TRIM(_xlfn.REGEXEXTRACT(BY76,"(\d.+[%]?$|[0-9]|[A-Z]+$)")),"")</f>
        <v/>
      </c>
      <c r="CB76" s="71" t="str">
        <f>IFERROR(VLOOKUP(BZ76,'사용자가 입력할 시트'!$AF$2:$AG$60,2,FALSE),BZ76)</f>
        <v/>
      </c>
      <c r="CC76" s="72" t="str">
        <f t="array" ref="CC76">IFERROR(TRIM(_xlfn.REGEXEXTRACT(CA76,"(\d+[%]?$|[A-Z]+$)")),"")</f>
        <v/>
      </c>
    </row>
    <row r="77" spans="2:81">
      <c r="W77" s="2" t="str">
        <f t="shared" ca="1" si="84"/>
        <v/>
      </c>
      <c r="X77" s="2" t="str">
        <f t="shared" ca="1" si="85"/>
        <v/>
      </c>
      <c r="Y77" s="2" t="str">
        <f t="shared" ca="1" si="86"/>
        <v/>
      </c>
      <c r="Z77" s="42" t="str">
        <f t="shared" ref="Z77" ca="1" si="104">IF(W77="","",$W$4&amp;" :"&amp;W77&amp;IF(W77=W78,"","("&amp;W78&amp;")"))</f>
        <v/>
      </c>
      <c r="AF77" s="69"/>
      <c r="AG77" s="70" t="str">
        <f t="shared" si="88"/>
        <v/>
      </c>
      <c r="AH77" s="70" t="str">
        <f t="array" ref="AH77">IFERROR(TRIM(_xlfn.REGEXEXTRACT(AF77,"(\d.+[%]?$|[0-9]|[A-Z]+$)")),"")</f>
        <v/>
      </c>
      <c r="AI77" s="71" t="str">
        <f>IFERROR(VLOOKUP(AG77,'사용자가 입력할 시트'!$AF$2:$AG$60,2,FALSE),AG77)</f>
        <v/>
      </c>
      <c r="AJ77" s="72" t="str">
        <f t="array" ref="AJ77">IFERROR(TRIM(_xlfn.REGEXEXTRACT(AH77,"(\d+[%]?$|[A-Z]+$)")),"")</f>
        <v/>
      </c>
      <c r="AK77" s="69"/>
      <c r="AL77" s="70" t="str">
        <f t="shared" si="89"/>
        <v/>
      </c>
      <c r="AM77" s="70" t="str">
        <f t="array" ref="AM77">IFERROR(TRIM(_xlfn.REGEXEXTRACT(AK77,"(\d.+[%]?$|[0-9]|[A-Z]+$)")),"")</f>
        <v/>
      </c>
      <c r="AN77" s="71" t="str">
        <f>IFERROR(VLOOKUP(AL77,'사용자가 입력할 시트'!$AF$2:$AG$60,2,FALSE),AL77)</f>
        <v/>
      </c>
      <c r="AO77" s="72" t="str">
        <f t="array" ref="AO77">IFERROR(TRIM(_xlfn.REGEXEXTRACT(AM77,"(\d+[%]?$|[A-Z]+$)")),"")</f>
        <v/>
      </c>
      <c r="AP77" s="69"/>
      <c r="AQ77" s="70" t="str">
        <f t="shared" si="90"/>
        <v/>
      </c>
      <c r="AR77" s="70" t="str">
        <f t="array" ref="AR77">IFERROR(TRIM(_xlfn.REGEXEXTRACT(AP77,"(\d.+[%]?$|[0-9]|[A-Z]+$)")),"")</f>
        <v/>
      </c>
      <c r="AS77" s="71" t="str">
        <f>IFERROR(VLOOKUP(AQ77,'사용자가 입력할 시트'!$AF$2:$AG$60,2,FALSE),AQ77)</f>
        <v/>
      </c>
      <c r="AT77" s="72" t="str">
        <f t="array" ref="AT77">IFERROR(TRIM(_xlfn.REGEXEXTRACT(AR77,"(\d+[%]?$|[A-Z]+$)")),"")</f>
        <v/>
      </c>
      <c r="AU77" s="69"/>
      <c r="AV77" s="70" t="str">
        <f t="shared" si="91"/>
        <v/>
      </c>
      <c r="AW77" s="70" t="str">
        <f t="array" ref="AW77">IFERROR(TRIM(_xlfn.REGEXEXTRACT(AU77,"(\d.+[%]?$|[0-9]|[A-Z]+$)")),"")</f>
        <v/>
      </c>
      <c r="AX77" s="71" t="str">
        <f>IFERROR(VLOOKUP(AV77,'사용자가 입력할 시트'!$AF$2:$AG$60,2,FALSE),AV77)</f>
        <v/>
      </c>
      <c r="AY77" s="72" t="str">
        <f t="array" ref="AY77">IFERROR(TRIM(_xlfn.REGEXEXTRACT(AW77,"(\d+[%]?$|[A-Z]+$)")),"")</f>
        <v/>
      </c>
      <c r="AZ77" s="69"/>
      <c r="BA77" s="70" t="str">
        <f t="shared" si="92"/>
        <v/>
      </c>
      <c r="BB77" s="70" t="str">
        <f t="array" ref="BB77">IFERROR(TRIM(_xlfn.REGEXEXTRACT(AZ77,"(\d.+[%]?$|[0-9]|[A-Z]+$)")),"")</f>
        <v/>
      </c>
      <c r="BC77" s="71" t="str">
        <f>IFERROR(VLOOKUP(BA77,'사용자가 입력할 시트'!$AF$2:$AG$60,2,FALSE),BA77)</f>
        <v/>
      </c>
      <c r="BD77" s="72" t="str">
        <f t="array" ref="BD77">IFERROR(TRIM(_xlfn.REGEXEXTRACT(BB77,"(\d+[%]?$|[A-Z]+$)")),"")</f>
        <v/>
      </c>
      <c r="BE77" s="69"/>
      <c r="BF77" s="70" t="str">
        <f t="shared" si="93"/>
        <v/>
      </c>
      <c r="BG77" s="70" t="str">
        <f t="array" ref="BG77">IFERROR(TRIM(_xlfn.REGEXEXTRACT(BE77,"(\d.+[%]?$|[0-9]|[A-Z]+$)")),"")</f>
        <v/>
      </c>
      <c r="BH77" s="71" t="str">
        <f>IFERROR(VLOOKUP(BF77,'사용자가 입력할 시트'!$AF$2:$AG$60,2,FALSE),BF77)</f>
        <v/>
      </c>
      <c r="BI77" s="72" t="str">
        <f t="array" ref="BI77">IFERROR(TRIM(_xlfn.REGEXEXTRACT(BG77,"(\d+[%]?$|[A-Z]+$)")),"")</f>
        <v/>
      </c>
      <c r="BJ77" s="69"/>
      <c r="BK77" s="70" t="str">
        <f t="shared" si="94"/>
        <v/>
      </c>
      <c r="BL77" s="70" t="str">
        <f t="array" ref="BL77">IFERROR(TRIM(_xlfn.REGEXEXTRACT(BJ77,"(\d.+[%]?$|[0-9]|[A-Z]+$)")),"")</f>
        <v/>
      </c>
      <c r="BM77" s="71" t="str">
        <f>IFERROR(VLOOKUP(BK77,'사용자가 입력할 시트'!$AF$2:$AG$60,2,FALSE),BK77)</f>
        <v/>
      </c>
      <c r="BN77" s="72" t="str">
        <f t="array" ref="BN77">IFERROR(TRIM(_xlfn.REGEXEXTRACT(BL77,"(\d+[%]?$|[A-Z]+$)")),"")</f>
        <v/>
      </c>
      <c r="BO77" s="69"/>
      <c r="BP77" s="70" t="str">
        <f t="shared" si="95"/>
        <v/>
      </c>
      <c r="BQ77" s="70" t="str">
        <f t="array" ref="BQ77">IFERROR(TRIM(_xlfn.REGEXEXTRACT(BO77,"(\d.+[%]?$|[0-9]|[A-Z]+$)")),"")</f>
        <v/>
      </c>
      <c r="BR77" s="71" t="str">
        <f>IFERROR(VLOOKUP(BP77,'사용자가 입력할 시트'!$AF$2:$AG$60,2,FALSE),BP77)</f>
        <v/>
      </c>
      <c r="BS77" s="72" t="str">
        <f t="array" ref="BS77">IFERROR(TRIM(_xlfn.REGEXEXTRACT(BQ77,"(\d+[%]?$|[A-Z]+$)")),"")</f>
        <v/>
      </c>
      <c r="BT77" s="69"/>
      <c r="BU77" s="70" t="str">
        <f t="shared" si="96"/>
        <v/>
      </c>
      <c r="BV77" s="70" t="str">
        <f t="array" ref="BV77">IFERROR(TRIM(_xlfn.REGEXEXTRACT(BT77,"(\d.+[%]?$|[0-9]|[A-Z]+$)")),"")</f>
        <v/>
      </c>
      <c r="BW77" s="71" t="str">
        <f>IFERROR(VLOOKUP(BU77,'사용자가 입력할 시트'!$AF$2:$AG$60,2,FALSE),BU77)</f>
        <v/>
      </c>
      <c r="BX77" s="72" t="str">
        <f t="array" ref="BX77">IFERROR(TRIM(_xlfn.REGEXEXTRACT(BV77,"(\d+[%]?$|[A-Z]+$)")),"")</f>
        <v/>
      </c>
      <c r="BY77" s="69"/>
      <c r="BZ77" s="70" t="str">
        <f t="shared" si="97"/>
        <v/>
      </c>
      <c r="CA77" s="70" t="str">
        <f t="array" ref="CA77">IFERROR(TRIM(_xlfn.REGEXEXTRACT(BY77,"(\d.+[%]?$|[0-9]|[A-Z]+$)")),"")</f>
        <v/>
      </c>
      <c r="CB77" s="71" t="str">
        <f>IFERROR(VLOOKUP(BZ77,'사용자가 입력할 시트'!$AF$2:$AG$60,2,FALSE),BZ77)</f>
        <v/>
      </c>
      <c r="CC77" s="72" t="str">
        <f t="array" ref="CC77">IFERROR(TRIM(_xlfn.REGEXEXTRACT(CA77,"(\d+[%]?$|[A-Z]+$)")),"")</f>
        <v/>
      </c>
    </row>
    <row r="78" spans="2:81">
      <c r="W78" s="2" t="str">
        <f t="shared" ca="1" si="84"/>
        <v/>
      </c>
      <c r="X78" s="2" t="str">
        <f t="shared" ca="1" si="85"/>
        <v/>
      </c>
      <c r="Y78" s="2" t="str">
        <f t="shared" ca="1" si="86"/>
        <v/>
      </c>
      <c r="Z78" s="42" t="str">
        <f t="shared" ref="Z78" ca="1" si="105">IF(X77="","",$X$4&amp;" :"&amp;X77&amp;IF(X77=X78,"","("&amp;X78&amp;")"))</f>
        <v/>
      </c>
      <c r="AF78" s="69"/>
      <c r="AG78" s="70" t="str">
        <f t="shared" si="88"/>
        <v/>
      </c>
      <c r="AH78" s="70" t="str">
        <f t="array" ref="AH78">IFERROR(TRIM(_xlfn.REGEXEXTRACT(AF78,"(\d.+[%]?$|[0-9]|[A-Z]+$)")),"")</f>
        <v/>
      </c>
      <c r="AI78" s="71" t="str">
        <f>IFERROR(VLOOKUP(AG78,'사용자가 입력할 시트'!$AF$2:$AG$60,2,FALSE),AG78)</f>
        <v/>
      </c>
      <c r="AJ78" s="72" t="str">
        <f t="array" ref="AJ78">IFERROR(TRIM(_xlfn.REGEXEXTRACT(AH78,"(\d+[%]?$|[A-Z]+$)")),"")</f>
        <v/>
      </c>
      <c r="AK78" s="69"/>
      <c r="AL78" s="70" t="str">
        <f t="shared" si="89"/>
        <v/>
      </c>
      <c r="AM78" s="70" t="str">
        <f t="array" ref="AM78">IFERROR(TRIM(_xlfn.REGEXEXTRACT(AK78,"(\d.+[%]?$|[0-9]|[A-Z]+$)")),"")</f>
        <v/>
      </c>
      <c r="AN78" s="71" t="str">
        <f>IFERROR(VLOOKUP(AL78,'사용자가 입력할 시트'!$AF$2:$AG$60,2,FALSE),AL78)</f>
        <v/>
      </c>
      <c r="AO78" s="72" t="str">
        <f t="array" ref="AO78">IFERROR(TRIM(_xlfn.REGEXEXTRACT(AM78,"(\d+[%]?$|[A-Z]+$)")),"")</f>
        <v/>
      </c>
      <c r="AP78" s="69"/>
      <c r="AQ78" s="70" t="str">
        <f t="shared" si="90"/>
        <v/>
      </c>
      <c r="AR78" s="70" t="str">
        <f t="array" ref="AR78">IFERROR(TRIM(_xlfn.REGEXEXTRACT(AP78,"(\d.+[%]?$|[0-9]|[A-Z]+$)")),"")</f>
        <v/>
      </c>
      <c r="AS78" s="71" t="str">
        <f>IFERROR(VLOOKUP(AQ78,'사용자가 입력할 시트'!$AF$2:$AG$60,2,FALSE),AQ78)</f>
        <v/>
      </c>
      <c r="AT78" s="72" t="str">
        <f t="array" ref="AT78">IFERROR(TRIM(_xlfn.REGEXEXTRACT(AR78,"(\d+[%]?$|[A-Z]+$)")),"")</f>
        <v/>
      </c>
      <c r="AU78" s="69"/>
      <c r="AV78" s="70" t="str">
        <f t="shared" si="91"/>
        <v/>
      </c>
      <c r="AW78" s="70" t="str">
        <f t="array" ref="AW78">IFERROR(TRIM(_xlfn.REGEXEXTRACT(AU78,"(\d.+[%]?$|[0-9]|[A-Z]+$)")),"")</f>
        <v/>
      </c>
      <c r="AX78" s="71" t="str">
        <f>IFERROR(VLOOKUP(AV78,'사용자가 입력할 시트'!$AF$2:$AG$60,2,FALSE),AV78)</f>
        <v/>
      </c>
      <c r="AY78" s="72" t="str">
        <f t="array" ref="AY78">IFERROR(TRIM(_xlfn.REGEXEXTRACT(AW78,"(\d+[%]?$|[A-Z]+$)")),"")</f>
        <v/>
      </c>
      <c r="AZ78" s="69"/>
      <c r="BA78" s="70" t="str">
        <f t="shared" si="92"/>
        <v/>
      </c>
      <c r="BB78" s="70" t="str">
        <f t="array" ref="BB78">IFERROR(TRIM(_xlfn.REGEXEXTRACT(AZ78,"(\d.+[%]?$|[0-9]|[A-Z]+$)")),"")</f>
        <v/>
      </c>
      <c r="BC78" s="71" t="str">
        <f>IFERROR(VLOOKUP(BA78,'사용자가 입력할 시트'!$AF$2:$AG$60,2,FALSE),BA78)</f>
        <v/>
      </c>
      <c r="BD78" s="72" t="str">
        <f t="array" ref="BD78">IFERROR(TRIM(_xlfn.REGEXEXTRACT(BB78,"(\d+[%]?$|[A-Z]+$)")),"")</f>
        <v/>
      </c>
      <c r="BE78" s="69"/>
      <c r="BF78" s="70" t="str">
        <f t="shared" si="93"/>
        <v/>
      </c>
      <c r="BG78" s="70" t="str">
        <f t="array" ref="BG78">IFERROR(TRIM(_xlfn.REGEXEXTRACT(BE78,"(\d.+[%]?$|[0-9]|[A-Z]+$)")),"")</f>
        <v/>
      </c>
      <c r="BH78" s="71" t="str">
        <f>IFERROR(VLOOKUP(BF78,'사용자가 입력할 시트'!$AF$2:$AG$60,2,FALSE),BF78)</f>
        <v/>
      </c>
      <c r="BI78" s="72" t="str">
        <f t="array" ref="BI78">IFERROR(TRIM(_xlfn.REGEXEXTRACT(BG78,"(\d+[%]?$|[A-Z]+$)")),"")</f>
        <v/>
      </c>
      <c r="BJ78" s="69"/>
      <c r="BK78" s="70" t="str">
        <f t="shared" si="94"/>
        <v/>
      </c>
      <c r="BL78" s="70" t="str">
        <f t="array" ref="BL78">IFERROR(TRIM(_xlfn.REGEXEXTRACT(BJ78,"(\d.+[%]?$|[0-9]|[A-Z]+$)")),"")</f>
        <v/>
      </c>
      <c r="BM78" s="71" t="str">
        <f>IFERROR(VLOOKUP(BK78,'사용자가 입력할 시트'!$AF$2:$AG$60,2,FALSE),BK78)</f>
        <v/>
      </c>
      <c r="BN78" s="72" t="str">
        <f t="array" ref="BN78">IFERROR(TRIM(_xlfn.REGEXEXTRACT(BL78,"(\d+[%]?$|[A-Z]+$)")),"")</f>
        <v/>
      </c>
      <c r="BO78" s="69"/>
      <c r="BP78" s="70" t="str">
        <f t="shared" si="95"/>
        <v/>
      </c>
      <c r="BQ78" s="70" t="str">
        <f t="array" ref="BQ78">IFERROR(TRIM(_xlfn.REGEXEXTRACT(BO78,"(\d.+[%]?$|[0-9]|[A-Z]+$)")),"")</f>
        <v/>
      </c>
      <c r="BR78" s="71" t="str">
        <f>IFERROR(VLOOKUP(BP78,'사용자가 입력할 시트'!$AF$2:$AG$60,2,FALSE),BP78)</f>
        <v/>
      </c>
      <c r="BS78" s="72" t="str">
        <f t="array" ref="BS78">IFERROR(TRIM(_xlfn.REGEXEXTRACT(BQ78,"(\d+[%]?$|[A-Z]+$)")),"")</f>
        <v/>
      </c>
      <c r="BT78" s="69"/>
      <c r="BU78" s="70" t="str">
        <f t="shared" si="96"/>
        <v/>
      </c>
      <c r="BV78" s="70" t="str">
        <f t="array" ref="BV78">IFERROR(TRIM(_xlfn.REGEXEXTRACT(BT78,"(\d.+[%]?$|[0-9]|[A-Z]+$)")),"")</f>
        <v/>
      </c>
      <c r="BW78" s="71" t="str">
        <f>IFERROR(VLOOKUP(BU78,'사용자가 입력할 시트'!$AF$2:$AG$60,2,FALSE),BU78)</f>
        <v/>
      </c>
      <c r="BX78" s="72" t="str">
        <f t="array" ref="BX78">IFERROR(TRIM(_xlfn.REGEXEXTRACT(BV78,"(\d+[%]?$|[A-Z]+$)")),"")</f>
        <v/>
      </c>
      <c r="BY78" s="69"/>
      <c r="BZ78" s="70" t="str">
        <f t="shared" si="97"/>
        <v/>
      </c>
      <c r="CA78" s="70" t="str">
        <f t="array" ref="CA78">IFERROR(TRIM(_xlfn.REGEXEXTRACT(BY78,"(\d.+[%]?$|[0-9]|[A-Z]+$)")),"")</f>
        <v/>
      </c>
      <c r="CB78" s="71" t="str">
        <f>IFERROR(VLOOKUP(BZ78,'사용자가 입력할 시트'!$AF$2:$AG$60,2,FALSE),BZ78)</f>
        <v/>
      </c>
      <c r="CC78" s="72" t="str">
        <f t="array" ref="CC78">IFERROR(TRIM(_xlfn.REGEXEXTRACT(CA78,"(\d+[%]?$|[A-Z]+$)")),"")</f>
        <v/>
      </c>
    </row>
    <row r="79" spans="2:81">
      <c r="W79" s="2" t="str">
        <f t="shared" ca="1" si="84"/>
        <v/>
      </c>
      <c r="X79" s="2" t="str">
        <f t="shared" ca="1" si="85"/>
        <v/>
      </c>
      <c r="Y79" s="2" t="str">
        <f t="shared" ca="1" si="86"/>
        <v/>
      </c>
      <c r="Z79" s="42" t="str">
        <f t="shared" ref="Z79" ca="1" si="106">IF(Y77="","",$Y$4&amp;" :"&amp;Y77&amp;IF(Y77=Y78,"","("&amp;Y78&amp;")"))</f>
        <v/>
      </c>
      <c r="AF79" s="69"/>
      <c r="AG79" s="70" t="str">
        <f t="shared" si="88"/>
        <v/>
      </c>
      <c r="AH79" s="70" t="str">
        <f t="array" ref="AH79">IFERROR(TRIM(_xlfn.REGEXEXTRACT(AF79,"(\d.+[%]?$|[0-9]|[A-Z]+$)")),"")</f>
        <v/>
      </c>
      <c r="AI79" s="71" t="str">
        <f>IFERROR(VLOOKUP(AG79,'사용자가 입력할 시트'!$AF$2:$AG$60,2,FALSE),AG79)</f>
        <v/>
      </c>
      <c r="AJ79" s="72" t="str">
        <f t="array" ref="AJ79">IFERROR(TRIM(_xlfn.REGEXEXTRACT(AH79,"(\d+[%]?$|[A-Z]+$)")),"")</f>
        <v/>
      </c>
      <c r="AK79" s="69"/>
      <c r="AL79" s="70" t="str">
        <f t="shared" si="89"/>
        <v/>
      </c>
      <c r="AM79" s="70" t="str">
        <f t="array" ref="AM79">IFERROR(TRIM(_xlfn.REGEXEXTRACT(AK79,"(\d.+[%]?$|[0-9]|[A-Z]+$)")),"")</f>
        <v/>
      </c>
      <c r="AN79" s="71" t="str">
        <f>IFERROR(VLOOKUP(AL79,'사용자가 입력할 시트'!$AF$2:$AG$60,2,FALSE),AL79)</f>
        <v/>
      </c>
      <c r="AO79" s="72" t="str">
        <f t="array" ref="AO79">IFERROR(TRIM(_xlfn.REGEXEXTRACT(AM79,"(\d+[%]?$|[A-Z]+$)")),"")</f>
        <v/>
      </c>
      <c r="AP79" s="69"/>
      <c r="AQ79" s="70" t="str">
        <f t="shared" si="90"/>
        <v/>
      </c>
      <c r="AR79" s="70" t="str">
        <f t="array" ref="AR79">IFERROR(TRIM(_xlfn.REGEXEXTRACT(AP79,"(\d.+[%]?$|[0-9]|[A-Z]+$)")),"")</f>
        <v/>
      </c>
      <c r="AS79" s="71" t="str">
        <f>IFERROR(VLOOKUP(AQ79,'사용자가 입력할 시트'!$AF$2:$AG$60,2,FALSE),AQ79)</f>
        <v/>
      </c>
      <c r="AT79" s="72" t="str">
        <f t="array" ref="AT79">IFERROR(TRIM(_xlfn.REGEXEXTRACT(AR79,"(\d+[%]?$|[A-Z]+$)")),"")</f>
        <v/>
      </c>
      <c r="AU79" s="69"/>
      <c r="AV79" s="70" t="str">
        <f t="shared" si="91"/>
        <v/>
      </c>
      <c r="AW79" s="70" t="str">
        <f t="array" ref="AW79">IFERROR(TRIM(_xlfn.REGEXEXTRACT(AU79,"(\d.+[%]?$|[0-9]|[A-Z]+$)")),"")</f>
        <v/>
      </c>
      <c r="AX79" s="71" t="str">
        <f>IFERROR(VLOOKUP(AV79,'사용자가 입력할 시트'!$AF$2:$AG$60,2,FALSE),AV79)</f>
        <v/>
      </c>
      <c r="AY79" s="72" t="str">
        <f t="array" ref="AY79">IFERROR(TRIM(_xlfn.REGEXEXTRACT(AW79,"(\d+[%]?$|[A-Z]+$)")),"")</f>
        <v/>
      </c>
      <c r="AZ79" s="69"/>
      <c r="BA79" s="70" t="str">
        <f t="shared" si="92"/>
        <v/>
      </c>
      <c r="BB79" s="70" t="str">
        <f t="array" ref="BB79">IFERROR(TRIM(_xlfn.REGEXEXTRACT(AZ79,"(\d.+[%]?$|[0-9]|[A-Z]+$)")),"")</f>
        <v/>
      </c>
      <c r="BC79" s="71" t="str">
        <f>IFERROR(VLOOKUP(BA79,'사용자가 입력할 시트'!$AF$2:$AG$60,2,FALSE),BA79)</f>
        <v/>
      </c>
      <c r="BD79" s="72" t="str">
        <f t="array" ref="BD79">IFERROR(TRIM(_xlfn.REGEXEXTRACT(BB79,"(\d+[%]?$|[A-Z]+$)")),"")</f>
        <v/>
      </c>
      <c r="BE79" s="69"/>
      <c r="BF79" s="70" t="str">
        <f t="shared" si="93"/>
        <v/>
      </c>
      <c r="BG79" s="70" t="str">
        <f t="array" ref="BG79">IFERROR(TRIM(_xlfn.REGEXEXTRACT(BE79,"(\d.+[%]?$|[0-9]|[A-Z]+$)")),"")</f>
        <v/>
      </c>
      <c r="BH79" s="71" t="str">
        <f>IFERROR(VLOOKUP(BF79,'사용자가 입력할 시트'!$AF$2:$AG$60,2,FALSE),BF79)</f>
        <v/>
      </c>
      <c r="BI79" s="72" t="str">
        <f t="array" ref="BI79">IFERROR(TRIM(_xlfn.REGEXEXTRACT(BG79,"(\d+[%]?$|[A-Z]+$)")),"")</f>
        <v/>
      </c>
      <c r="BJ79" s="69"/>
      <c r="BK79" s="70" t="str">
        <f t="shared" si="94"/>
        <v/>
      </c>
      <c r="BL79" s="70" t="str">
        <f t="array" ref="BL79">IFERROR(TRIM(_xlfn.REGEXEXTRACT(BJ79,"(\d.+[%]?$|[0-9]|[A-Z]+$)")),"")</f>
        <v/>
      </c>
      <c r="BM79" s="71" t="str">
        <f>IFERROR(VLOOKUP(BK79,'사용자가 입력할 시트'!$AF$2:$AG$60,2,FALSE),BK79)</f>
        <v/>
      </c>
      <c r="BN79" s="72" t="str">
        <f t="array" ref="BN79">IFERROR(TRIM(_xlfn.REGEXEXTRACT(BL79,"(\d+[%]?$|[A-Z]+$)")),"")</f>
        <v/>
      </c>
      <c r="BO79" s="69"/>
      <c r="BP79" s="70" t="str">
        <f t="shared" si="95"/>
        <v/>
      </c>
      <c r="BQ79" s="70" t="str">
        <f t="array" ref="BQ79">IFERROR(TRIM(_xlfn.REGEXEXTRACT(BO79,"(\d.+[%]?$|[0-9]|[A-Z]+$)")),"")</f>
        <v/>
      </c>
      <c r="BR79" s="71" t="str">
        <f>IFERROR(VLOOKUP(BP79,'사용자가 입력할 시트'!$AF$2:$AG$60,2,FALSE),BP79)</f>
        <v/>
      </c>
      <c r="BS79" s="72" t="str">
        <f t="array" ref="BS79">IFERROR(TRIM(_xlfn.REGEXEXTRACT(BQ79,"(\d+[%]?$|[A-Z]+$)")),"")</f>
        <v/>
      </c>
      <c r="BT79" s="69"/>
      <c r="BU79" s="70" t="str">
        <f t="shared" si="96"/>
        <v/>
      </c>
      <c r="BV79" s="70" t="str">
        <f t="array" ref="BV79">IFERROR(TRIM(_xlfn.REGEXEXTRACT(BT79,"(\d.+[%]?$|[0-9]|[A-Z]+$)")),"")</f>
        <v/>
      </c>
      <c r="BW79" s="71" t="str">
        <f>IFERROR(VLOOKUP(BU79,'사용자가 입력할 시트'!$AF$2:$AG$60,2,FALSE),BU79)</f>
        <v/>
      </c>
      <c r="BX79" s="72" t="str">
        <f t="array" ref="BX79">IFERROR(TRIM(_xlfn.REGEXEXTRACT(BV79,"(\d+[%]?$|[A-Z]+$)")),"")</f>
        <v/>
      </c>
      <c r="BY79" s="69"/>
      <c r="BZ79" s="70" t="str">
        <f t="shared" si="97"/>
        <v/>
      </c>
      <c r="CA79" s="70" t="str">
        <f t="array" ref="CA79">IFERROR(TRIM(_xlfn.REGEXEXTRACT(BY79,"(\d.+[%]?$|[0-9]|[A-Z]+$)")),"")</f>
        <v/>
      </c>
      <c r="CB79" s="71" t="str">
        <f>IFERROR(VLOOKUP(BZ79,'사용자가 입력할 시트'!$AF$2:$AG$60,2,FALSE),BZ79)</f>
        <v/>
      </c>
      <c r="CC79" s="72" t="str">
        <f t="array" ref="CC79">IFERROR(TRIM(_xlfn.REGEXEXTRACT(CA79,"(\d+[%]?$|[A-Z]+$)")),"")</f>
        <v/>
      </c>
    </row>
    <row r="80" spans="2:81">
      <c r="W80" s="2" t="str">
        <f t="shared" ca="1" si="84"/>
        <v/>
      </c>
      <c r="X80" s="2" t="str">
        <f t="shared" ca="1" si="85"/>
        <v/>
      </c>
      <c r="Y80" s="2" t="str">
        <f t="shared" ca="1" si="86"/>
        <v/>
      </c>
      <c r="Z80" s="42" t="str">
        <f t="shared" ref="Z80" ca="1" si="107">IF(W80="","",$W$4&amp;" :"&amp;W80&amp;IF(W80=W81,"","("&amp;W81&amp;")"))</f>
        <v/>
      </c>
      <c r="AF80" s="69"/>
      <c r="AG80" s="70" t="str">
        <f t="shared" si="88"/>
        <v/>
      </c>
      <c r="AH80" s="70" t="str">
        <f t="array" ref="AH80">IFERROR(TRIM(_xlfn.REGEXEXTRACT(AF80,"(\d.+[%]?$|[0-9]|[A-Z]+$)")),"")</f>
        <v/>
      </c>
      <c r="AI80" s="71" t="str">
        <f>IFERROR(VLOOKUP(AG80,'사용자가 입력할 시트'!$AF$2:$AG$60,2,FALSE),AG80)</f>
        <v/>
      </c>
      <c r="AJ80" s="72" t="str">
        <f t="array" ref="AJ80">IFERROR(TRIM(_xlfn.REGEXEXTRACT(AH80,"(\d+[%]?$|[A-Z]+$)")),"")</f>
        <v/>
      </c>
      <c r="AK80" s="69"/>
      <c r="AL80" s="70" t="str">
        <f t="shared" si="89"/>
        <v/>
      </c>
      <c r="AM80" s="70" t="str">
        <f t="array" ref="AM80">IFERROR(TRIM(_xlfn.REGEXEXTRACT(AK80,"(\d.+[%]?$|[0-9]|[A-Z]+$)")),"")</f>
        <v/>
      </c>
      <c r="AN80" s="71" t="str">
        <f>IFERROR(VLOOKUP(AL80,'사용자가 입력할 시트'!$AF$2:$AG$60,2,FALSE),AL80)</f>
        <v/>
      </c>
      <c r="AO80" s="72" t="str">
        <f t="array" ref="AO80">IFERROR(TRIM(_xlfn.REGEXEXTRACT(AM80,"(\d+[%]?$|[A-Z]+$)")),"")</f>
        <v/>
      </c>
      <c r="AP80" s="69"/>
      <c r="AQ80" s="70" t="str">
        <f t="shared" si="90"/>
        <v/>
      </c>
      <c r="AR80" s="70" t="str">
        <f t="array" ref="AR80">IFERROR(TRIM(_xlfn.REGEXEXTRACT(AP80,"(\d.+[%]?$|[0-9]|[A-Z]+$)")),"")</f>
        <v/>
      </c>
      <c r="AS80" s="71" t="str">
        <f>IFERROR(VLOOKUP(AQ80,'사용자가 입력할 시트'!$AF$2:$AG$60,2,FALSE),AQ80)</f>
        <v/>
      </c>
      <c r="AT80" s="72" t="str">
        <f t="array" ref="AT80">IFERROR(TRIM(_xlfn.REGEXEXTRACT(AR80,"(\d+[%]?$|[A-Z]+$)")),"")</f>
        <v/>
      </c>
      <c r="AU80" s="69"/>
      <c r="AV80" s="70" t="str">
        <f t="shared" si="91"/>
        <v/>
      </c>
      <c r="AW80" s="70" t="str">
        <f t="array" ref="AW80">IFERROR(TRIM(_xlfn.REGEXEXTRACT(AU80,"(\d.+[%]?$|[0-9]|[A-Z]+$)")),"")</f>
        <v/>
      </c>
      <c r="AX80" s="71" t="str">
        <f>IFERROR(VLOOKUP(AV80,'사용자가 입력할 시트'!$AF$2:$AG$60,2,FALSE),AV80)</f>
        <v/>
      </c>
      <c r="AY80" s="72" t="str">
        <f t="array" ref="AY80">IFERROR(TRIM(_xlfn.REGEXEXTRACT(AW80,"(\d+[%]?$|[A-Z]+$)")),"")</f>
        <v/>
      </c>
      <c r="AZ80" s="69"/>
      <c r="BA80" s="70" t="str">
        <f t="shared" si="92"/>
        <v/>
      </c>
      <c r="BB80" s="70" t="str">
        <f t="array" ref="BB80">IFERROR(TRIM(_xlfn.REGEXEXTRACT(AZ80,"(\d.+[%]?$|[0-9]|[A-Z]+$)")),"")</f>
        <v/>
      </c>
      <c r="BC80" s="71" t="str">
        <f>IFERROR(VLOOKUP(BA80,'사용자가 입력할 시트'!$AF$2:$AG$60,2,FALSE),BA80)</f>
        <v/>
      </c>
      <c r="BD80" s="72" t="str">
        <f t="array" ref="BD80">IFERROR(TRIM(_xlfn.REGEXEXTRACT(BB80,"(\d+[%]?$|[A-Z]+$)")),"")</f>
        <v/>
      </c>
      <c r="BE80" s="69"/>
      <c r="BF80" s="70" t="str">
        <f t="shared" si="93"/>
        <v/>
      </c>
      <c r="BG80" s="70" t="str">
        <f t="array" ref="BG80">IFERROR(TRIM(_xlfn.REGEXEXTRACT(BE80,"(\d.+[%]?$|[0-9]|[A-Z]+$)")),"")</f>
        <v/>
      </c>
      <c r="BH80" s="71" t="str">
        <f>IFERROR(VLOOKUP(BF80,'사용자가 입력할 시트'!$AF$2:$AG$60,2,FALSE),BF80)</f>
        <v/>
      </c>
      <c r="BI80" s="72" t="str">
        <f t="array" ref="BI80">IFERROR(TRIM(_xlfn.REGEXEXTRACT(BG80,"(\d+[%]?$|[A-Z]+$)")),"")</f>
        <v/>
      </c>
      <c r="BJ80" s="69"/>
      <c r="BK80" s="70" t="str">
        <f t="shared" si="94"/>
        <v/>
      </c>
      <c r="BL80" s="70" t="str">
        <f t="array" ref="BL80">IFERROR(TRIM(_xlfn.REGEXEXTRACT(BJ80,"(\d.+[%]?$|[0-9]|[A-Z]+$)")),"")</f>
        <v/>
      </c>
      <c r="BM80" s="71" t="str">
        <f>IFERROR(VLOOKUP(BK80,'사용자가 입력할 시트'!$AF$2:$AG$60,2,FALSE),BK80)</f>
        <v/>
      </c>
      <c r="BN80" s="72" t="str">
        <f t="array" ref="BN80">IFERROR(TRIM(_xlfn.REGEXEXTRACT(BL80,"(\d+[%]?$|[A-Z]+$)")),"")</f>
        <v/>
      </c>
      <c r="BO80" s="69"/>
      <c r="BP80" s="70" t="str">
        <f t="shared" si="95"/>
        <v/>
      </c>
      <c r="BQ80" s="70" t="str">
        <f t="array" ref="BQ80">IFERROR(TRIM(_xlfn.REGEXEXTRACT(BO80,"(\d.+[%]?$|[0-9]|[A-Z]+$)")),"")</f>
        <v/>
      </c>
      <c r="BR80" s="71" t="str">
        <f>IFERROR(VLOOKUP(BP80,'사용자가 입력할 시트'!$AF$2:$AG$60,2,FALSE),BP80)</f>
        <v/>
      </c>
      <c r="BS80" s="72" t="str">
        <f t="array" ref="BS80">IFERROR(TRIM(_xlfn.REGEXEXTRACT(BQ80,"(\d+[%]?$|[A-Z]+$)")),"")</f>
        <v/>
      </c>
      <c r="BT80" s="69"/>
      <c r="BU80" s="70" t="str">
        <f t="shared" si="96"/>
        <v/>
      </c>
      <c r="BV80" s="70" t="str">
        <f t="array" ref="BV80">IFERROR(TRIM(_xlfn.REGEXEXTRACT(BT80,"(\d.+[%]?$|[0-9]|[A-Z]+$)")),"")</f>
        <v/>
      </c>
      <c r="BW80" s="71" t="str">
        <f>IFERROR(VLOOKUP(BU80,'사용자가 입력할 시트'!$AF$2:$AG$60,2,FALSE),BU80)</f>
        <v/>
      </c>
      <c r="BX80" s="72" t="str">
        <f t="array" ref="BX80">IFERROR(TRIM(_xlfn.REGEXEXTRACT(BV80,"(\d+[%]?$|[A-Z]+$)")),"")</f>
        <v/>
      </c>
      <c r="BY80" s="69"/>
      <c r="BZ80" s="70" t="str">
        <f t="shared" si="97"/>
        <v/>
      </c>
      <c r="CA80" s="70" t="str">
        <f t="array" ref="CA80">IFERROR(TRIM(_xlfn.REGEXEXTRACT(BY80,"(\d.+[%]?$|[0-9]|[A-Z]+$)")),"")</f>
        <v/>
      </c>
      <c r="CB80" s="71" t="str">
        <f>IFERROR(VLOOKUP(BZ80,'사용자가 입력할 시트'!$AF$2:$AG$60,2,FALSE),BZ80)</f>
        <v/>
      </c>
      <c r="CC80" s="72" t="str">
        <f t="array" ref="CC80">IFERROR(TRIM(_xlfn.REGEXEXTRACT(CA80,"(\d+[%]?$|[A-Z]+$)")),"")</f>
        <v/>
      </c>
    </row>
    <row r="81" spans="23:81">
      <c r="W81" s="2" t="str">
        <f t="shared" ca="1" si="84"/>
        <v/>
      </c>
      <c r="X81" s="2" t="str">
        <f t="shared" ca="1" si="85"/>
        <v/>
      </c>
      <c r="Y81" s="2" t="str">
        <f t="shared" ca="1" si="86"/>
        <v/>
      </c>
      <c r="Z81" s="42" t="str">
        <f t="shared" ref="Z81" ca="1" si="108">IF(X80="","",$X$4&amp;" :"&amp;X80&amp;IF(X80=X81,"","("&amp;X81&amp;")"))</f>
        <v/>
      </c>
      <c r="AF81" s="69"/>
      <c r="AG81" s="70" t="str">
        <f t="shared" si="88"/>
        <v/>
      </c>
      <c r="AH81" s="70" t="str">
        <f t="array" ref="AH81">IFERROR(TRIM(_xlfn.REGEXEXTRACT(AF81,"(\d.+[%]?$|[0-9]|[A-Z]+$)")),"")</f>
        <v/>
      </c>
      <c r="AI81" s="71" t="str">
        <f>IFERROR(VLOOKUP(AG81,'사용자가 입력할 시트'!$AF$2:$AG$60,2,FALSE),AG81)</f>
        <v/>
      </c>
      <c r="AJ81" s="72" t="str">
        <f t="array" ref="AJ81">IFERROR(TRIM(_xlfn.REGEXEXTRACT(AH81,"(\d+[%]?$|[A-Z]+$)")),"")</f>
        <v/>
      </c>
      <c r="AK81" s="69"/>
      <c r="AL81" s="70" t="str">
        <f t="shared" si="89"/>
        <v/>
      </c>
      <c r="AM81" s="70" t="str">
        <f t="array" ref="AM81">IFERROR(TRIM(_xlfn.REGEXEXTRACT(AK81,"(\d.+[%]?$|[0-9]|[A-Z]+$)")),"")</f>
        <v/>
      </c>
      <c r="AN81" s="71" t="str">
        <f>IFERROR(VLOOKUP(AL81,'사용자가 입력할 시트'!$AF$2:$AG$60,2,FALSE),AL81)</f>
        <v/>
      </c>
      <c r="AO81" s="72" t="str">
        <f t="array" ref="AO81">IFERROR(TRIM(_xlfn.REGEXEXTRACT(AM81,"(\d+[%]?$|[A-Z]+$)")),"")</f>
        <v/>
      </c>
      <c r="AP81" s="69"/>
      <c r="AQ81" s="70" t="str">
        <f t="shared" si="90"/>
        <v/>
      </c>
      <c r="AR81" s="70" t="str">
        <f t="array" ref="AR81">IFERROR(TRIM(_xlfn.REGEXEXTRACT(AP81,"(\d.+[%]?$|[0-9]|[A-Z]+$)")),"")</f>
        <v/>
      </c>
      <c r="AS81" s="71" t="str">
        <f>IFERROR(VLOOKUP(AQ81,'사용자가 입력할 시트'!$AF$2:$AG$60,2,FALSE),AQ81)</f>
        <v/>
      </c>
      <c r="AT81" s="72" t="str">
        <f t="array" ref="AT81">IFERROR(TRIM(_xlfn.REGEXEXTRACT(AR81,"(\d+[%]?$|[A-Z]+$)")),"")</f>
        <v/>
      </c>
      <c r="AU81" s="69"/>
      <c r="AV81" s="70" t="str">
        <f t="shared" si="91"/>
        <v/>
      </c>
      <c r="AW81" s="70" t="str">
        <f t="array" ref="AW81">IFERROR(TRIM(_xlfn.REGEXEXTRACT(AU81,"(\d.+[%]?$|[0-9]|[A-Z]+$)")),"")</f>
        <v/>
      </c>
      <c r="AX81" s="71" t="str">
        <f>IFERROR(VLOOKUP(AV81,'사용자가 입력할 시트'!$AF$2:$AG$60,2,FALSE),AV81)</f>
        <v/>
      </c>
      <c r="AY81" s="72" t="str">
        <f t="array" ref="AY81">IFERROR(TRIM(_xlfn.REGEXEXTRACT(AW81,"(\d+[%]?$|[A-Z]+$)")),"")</f>
        <v/>
      </c>
      <c r="AZ81" s="69"/>
      <c r="BA81" s="70" t="str">
        <f t="shared" si="92"/>
        <v/>
      </c>
      <c r="BB81" s="70" t="str">
        <f t="array" ref="BB81">IFERROR(TRIM(_xlfn.REGEXEXTRACT(AZ81,"(\d.+[%]?$|[0-9]|[A-Z]+$)")),"")</f>
        <v/>
      </c>
      <c r="BC81" s="71" t="str">
        <f>IFERROR(VLOOKUP(BA81,'사용자가 입력할 시트'!$AF$2:$AG$60,2,FALSE),BA81)</f>
        <v/>
      </c>
      <c r="BD81" s="72" t="str">
        <f t="array" ref="BD81">IFERROR(TRIM(_xlfn.REGEXEXTRACT(BB81,"(\d+[%]?$|[A-Z]+$)")),"")</f>
        <v/>
      </c>
      <c r="BE81" s="69"/>
      <c r="BF81" s="70" t="str">
        <f t="shared" si="93"/>
        <v/>
      </c>
      <c r="BG81" s="70" t="str">
        <f t="array" ref="BG81">IFERROR(TRIM(_xlfn.REGEXEXTRACT(BE81,"(\d.+[%]?$|[0-9]|[A-Z]+$)")),"")</f>
        <v/>
      </c>
      <c r="BH81" s="71" t="str">
        <f>IFERROR(VLOOKUP(BF81,'사용자가 입력할 시트'!$AF$2:$AG$60,2,FALSE),BF81)</f>
        <v/>
      </c>
      <c r="BI81" s="72" t="str">
        <f t="array" ref="BI81">IFERROR(TRIM(_xlfn.REGEXEXTRACT(BG81,"(\d+[%]?$|[A-Z]+$)")),"")</f>
        <v/>
      </c>
      <c r="BJ81" s="69"/>
      <c r="BK81" s="70" t="str">
        <f t="shared" si="94"/>
        <v/>
      </c>
      <c r="BL81" s="70" t="str">
        <f t="array" ref="BL81">IFERROR(TRIM(_xlfn.REGEXEXTRACT(BJ81,"(\d.+[%]?$|[0-9]|[A-Z]+$)")),"")</f>
        <v/>
      </c>
      <c r="BM81" s="71" t="str">
        <f>IFERROR(VLOOKUP(BK81,'사용자가 입력할 시트'!$AF$2:$AG$60,2,FALSE),BK81)</f>
        <v/>
      </c>
      <c r="BN81" s="72" t="str">
        <f t="array" ref="BN81">IFERROR(TRIM(_xlfn.REGEXEXTRACT(BL81,"(\d+[%]?$|[A-Z]+$)")),"")</f>
        <v/>
      </c>
      <c r="BO81" s="69"/>
      <c r="BP81" s="70" t="str">
        <f t="shared" si="95"/>
        <v/>
      </c>
      <c r="BQ81" s="70" t="str">
        <f t="array" ref="BQ81">IFERROR(TRIM(_xlfn.REGEXEXTRACT(BO81,"(\d.+[%]?$|[0-9]|[A-Z]+$)")),"")</f>
        <v/>
      </c>
      <c r="BR81" s="71" t="str">
        <f>IFERROR(VLOOKUP(BP81,'사용자가 입력할 시트'!$AF$2:$AG$60,2,FALSE),BP81)</f>
        <v/>
      </c>
      <c r="BS81" s="72" t="str">
        <f t="array" ref="BS81">IFERROR(TRIM(_xlfn.REGEXEXTRACT(BQ81,"(\d+[%]?$|[A-Z]+$)")),"")</f>
        <v/>
      </c>
      <c r="BT81" s="69"/>
      <c r="BU81" s="70" t="str">
        <f t="shared" si="96"/>
        <v/>
      </c>
      <c r="BV81" s="70" t="str">
        <f t="array" ref="BV81">IFERROR(TRIM(_xlfn.REGEXEXTRACT(BT81,"(\d.+[%]?$|[0-9]|[A-Z]+$)")),"")</f>
        <v/>
      </c>
      <c r="BW81" s="71" t="str">
        <f>IFERROR(VLOOKUP(BU81,'사용자가 입력할 시트'!$AF$2:$AG$60,2,FALSE),BU81)</f>
        <v/>
      </c>
      <c r="BX81" s="72" t="str">
        <f t="array" ref="BX81">IFERROR(TRIM(_xlfn.REGEXEXTRACT(BV81,"(\d+[%]?$|[A-Z]+$)")),"")</f>
        <v/>
      </c>
      <c r="BY81" s="69"/>
      <c r="BZ81" s="70" t="str">
        <f t="shared" si="97"/>
        <v/>
      </c>
      <c r="CA81" s="70" t="str">
        <f t="array" ref="CA81">IFERROR(TRIM(_xlfn.REGEXEXTRACT(BY81,"(\d.+[%]?$|[0-9]|[A-Z]+$)")),"")</f>
        <v/>
      </c>
      <c r="CB81" s="71" t="str">
        <f>IFERROR(VLOOKUP(BZ81,'사용자가 입력할 시트'!$AF$2:$AG$60,2,FALSE),BZ81)</f>
        <v/>
      </c>
      <c r="CC81" s="72" t="str">
        <f t="array" ref="CC81">IFERROR(TRIM(_xlfn.REGEXEXTRACT(CA81,"(\d+[%]?$|[A-Z]+$)")),"")</f>
        <v/>
      </c>
    </row>
    <row r="82" spans="23:81">
      <c r="W82" s="2" t="str">
        <f t="shared" ca="1" si="84"/>
        <v/>
      </c>
      <c r="X82" s="2" t="str">
        <f t="shared" ca="1" si="85"/>
        <v/>
      </c>
      <c r="Y82" s="2" t="str">
        <f t="shared" ca="1" si="86"/>
        <v/>
      </c>
      <c r="Z82" s="42" t="str">
        <f t="shared" ref="Z82" ca="1" si="109">IF(Y80="","",$Y$4&amp;" :"&amp;Y80&amp;IF(Y80=Y81,"","("&amp;Y81&amp;")"))</f>
        <v/>
      </c>
      <c r="AF82" s="69"/>
      <c r="AG82" s="70" t="str">
        <f t="shared" si="88"/>
        <v/>
      </c>
      <c r="AH82" s="70" t="str">
        <f t="array" ref="AH82">IFERROR(TRIM(_xlfn.REGEXEXTRACT(AF82,"(\d.+[%]?$|[0-9]|[A-Z]+$)")),"")</f>
        <v/>
      </c>
      <c r="AI82" s="71" t="str">
        <f>IFERROR(VLOOKUP(AG82,'사용자가 입력할 시트'!$AF$2:$AG$60,2,FALSE),AG82)</f>
        <v/>
      </c>
      <c r="AJ82" s="72" t="str">
        <f t="array" ref="AJ82">IFERROR(TRIM(_xlfn.REGEXEXTRACT(AH82,"(\d+[%]?$|[A-Z]+$)")),"")</f>
        <v/>
      </c>
      <c r="AK82" s="69"/>
      <c r="AL82" s="70" t="str">
        <f t="shared" si="89"/>
        <v/>
      </c>
      <c r="AM82" s="70" t="str">
        <f t="array" ref="AM82">IFERROR(TRIM(_xlfn.REGEXEXTRACT(AK82,"(\d.+[%]?$|[0-9]|[A-Z]+$)")),"")</f>
        <v/>
      </c>
      <c r="AN82" s="71" t="str">
        <f>IFERROR(VLOOKUP(AL82,'사용자가 입력할 시트'!$AF$2:$AG$60,2,FALSE),AL82)</f>
        <v/>
      </c>
      <c r="AO82" s="72" t="str">
        <f t="array" ref="AO82">IFERROR(TRIM(_xlfn.REGEXEXTRACT(AM82,"(\d+[%]?$|[A-Z]+$)")),"")</f>
        <v/>
      </c>
      <c r="AP82" s="69"/>
      <c r="AQ82" s="70" t="str">
        <f t="shared" si="90"/>
        <v/>
      </c>
      <c r="AR82" s="70" t="str">
        <f t="array" ref="AR82">IFERROR(TRIM(_xlfn.REGEXEXTRACT(AP82,"(\d.+[%]?$|[0-9]|[A-Z]+$)")),"")</f>
        <v/>
      </c>
      <c r="AS82" s="71" t="str">
        <f>IFERROR(VLOOKUP(AQ82,'사용자가 입력할 시트'!$AF$2:$AG$60,2,FALSE),AQ82)</f>
        <v/>
      </c>
      <c r="AT82" s="72" t="str">
        <f t="array" ref="AT82">IFERROR(TRIM(_xlfn.REGEXEXTRACT(AR82,"(\d+[%]?$|[A-Z]+$)")),"")</f>
        <v/>
      </c>
      <c r="AU82" s="69"/>
      <c r="AV82" s="70" t="str">
        <f t="shared" si="91"/>
        <v/>
      </c>
      <c r="AW82" s="70" t="str">
        <f t="array" ref="AW82">IFERROR(TRIM(_xlfn.REGEXEXTRACT(AU82,"(\d.+[%]?$|[0-9]|[A-Z]+$)")),"")</f>
        <v/>
      </c>
      <c r="AX82" s="71" t="str">
        <f>IFERROR(VLOOKUP(AV82,'사용자가 입력할 시트'!$AF$2:$AG$60,2,FALSE),AV82)</f>
        <v/>
      </c>
      <c r="AY82" s="72" t="str">
        <f t="array" ref="AY82">IFERROR(TRIM(_xlfn.REGEXEXTRACT(AW82,"(\d+[%]?$|[A-Z]+$)")),"")</f>
        <v/>
      </c>
      <c r="AZ82" s="69"/>
      <c r="BA82" s="70" t="str">
        <f t="shared" si="92"/>
        <v/>
      </c>
      <c r="BB82" s="70" t="str">
        <f t="array" ref="BB82">IFERROR(TRIM(_xlfn.REGEXEXTRACT(AZ82,"(\d.+[%]?$|[0-9]|[A-Z]+$)")),"")</f>
        <v/>
      </c>
      <c r="BC82" s="71" t="str">
        <f>IFERROR(VLOOKUP(BA82,'사용자가 입력할 시트'!$AF$2:$AG$60,2,FALSE),BA82)</f>
        <v/>
      </c>
      <c r="BD82" s="72" t="str">
        <f t="array" ref="BD82">IFERROR(TRIM(_xlfn.REGEXEXTRACT(BB82,"(\d+[%]?$|[A-Z]+$)")),"")</f>
        <v/>
      </c>
      <c r="BE82" s="69"/>
      <c r="BF82" s="70" t="str">
        <f t="shared" si="93"/>
        <v/>
      </c>
      <c r="BG82" s="70" t="str">
        <f t="array" ref="BG82">IFERROR(TRIM(_xlfn.REGEXEXTRACT(BE82,"(\d.+[%]?$|[0-9]|[A-Z]+$)")),"")</f>
        <v/>
      </c>
      <c r="BH82" s="71" t="str">
        <f>IFERROR(VLOOKUP(BF82,'사용자가 입력할 시트'!$AF$2:$AG$60,2,FALSE),BF82)</f>
        <v/>
      </c>
      <c r="BI82" s="72" t="str">
        <f t="array" ref="BI82">IFERROR(TRIM(_xlfn.REGEXEXTRACT(BG82,"(\d+[%]?$|[A-Z]+$)")),"")</f>
        <v/>
      </c>
      <c r="BJ82" s="69"/>
      <c r="BK82" s="70" t="str">
        <f t="shared" si="94"/>
        <v/>
      </c>
      <c r="BL82" s="70" t="str">
        <f t="array" ref="BL82">IFERROR(TRIM(_xlfn.REGEXEXTRACT(BJ82,"(\d.+[%]?$|[0-9]|[A-Z]+$)")),"")</f>
        <v/>
      </c>
      <c r="BM82" s="71" t="str">
        <f>IFERROR(VLOOKUP(BK82,'사용자가 입력할 시트'!$AF$2:$AG$60,2,FALSE),BK82)</f>
        <v/>
      </c>
      <c r="BN82" s="72" t="str">
        <f t="array" ref="BN82">IFERROR(TRIM(_xlfn.REGEXEXTRACT(BL82,"(\d+[%]?$|[A-Z]+$)")),"")</f>
        <v/>
      </c>
      <c r="BO82" s="69"/>
      <c r="BP82" s="70" t="str">
        <f t="shared" si="95"/>
        <v/>
      </c>
      <c r="BQ82" s="70" t="str">
        <f t="array" ref="BQ82">IFERROR(TRIM(_xlfn.REGEXEXTRACT(BO82,"(\d.+[%]?$|[0-9]|[A-Z]+$)")),"")</f>
        <v/>
      </c>
      <c r="BR82" s="71" t="str">
        <f>IFERROR(VLOOKUP(BP82,'사용자가 입력할 시트'!$AF$2:$AG$60,2,FALSE),BP82)</f>
        <v/>
      </c>
      <c r="BS82" s="72" t="str">
        <f t="array" ref="BS82">IFERROR(TRIM(_xlfn.REGEXEXTRACT(BQ82,"(\d+[%]?$|[A-Z]+$)")),"")</f>
        <v/>
      </c>
      <c r="BT82" s="69"/>
      <c r="BU82" s="70" t="str">
        <f t="shared" si="96"/>
        <v/>
      </c>
      <c r="BV82" s="70" t="str">
        <f t="array" ref="BV82">IFERROR(TRIM(_xlfn.REGEXEXTRACT(BT82,"(\d.+[%]?$|[0-9]|[A-Z]+$)")),"")</f>
        <v/>
      </c>
      <c r="BW82" s="71" t="str">
        <f>IFERROR(VLOOKUP(BU82,'사용자가 입력할 시트'!$AF$2:$AG$60,2,FALSE),BU82)</f>
        <v/>
      </c>
      <c r="BX82" s="72" t="str">
        <f t="array" ref="BX82">IFERROR(TRIM(_xlfn.REGEXEXTRACT(BV82,"(\d+[%]?$|[A-Z]+$)")),"")</f>
        <v/>
      </c>
      <c r="BY82" s="69"/>
      <c r="BZ82" s="70" t="str">
        <f t="shared" si="97"/>
        <v/>
      </c>
      <c r="CA82" s="70" t="str">
        <f t="array" ref="CA82">IFERROR(TRIM(_xlfn.REGEXEXTRACT(BY82,"(\d.+[%]?$|[0-9]|[A-Z]+$)")),"")</f>
        <v/>
      </c>
      <c r="CB82" s="71" t="str">
        <f>IFERROR(VLOOKUP(BZ82,'사용자가 입력할 시트'!$AF$2:$AG$60,2,FALSE),BZ82)</f>
        <v/>
      </c>
      <c r="CC82" s="72" t="str">
        <f t="array" ref="CC82">IFERROR(TRIM(_xlfn.REGEXEXTRACT(CA82,"(\d+[%]?$|[A-Z]+$)")),"")</f>
        <v/>
      </c>
    </row>
    <row r="83" spans="23:81">
      <c r="W83" s="2" t="str">
        <f t="shared" ca="1" si="84"/>
        <v/>
      </c>
      <c r="X83" s="2" t="str">
        <f t="shared" ca="1" si="85"/>
        <v/>
      </c>
      <c r="Y83" s="2" t="str">
        <f t="shared" ca="1" si="86"/>
        <v/>
      </c>
      <c r="Z83" s="42" t="str">
        <f t="shared" ref="Z83" ca="1" si="110">IF(W83="","",$W$4&amp;" :"&amp;W83&amp;IF(W83=W84,"","("&amp;W84&amp;")"))</f>
        <v/>
      </c>
      <c r="AF83" s="69"/>
      <c r="AG83" s="70" t="str">
        <f t="shared" si="88"/>
        <v/>
      </c>
      <c r="AH83" s="70" t="str">
        <f t="array" ref="AH83">IFERROR(TRIM(_xlfn.REGEXEXTRACT(AF83,"(\d.+[%]?$|[0-9]|[A-Z]+$)")),"")</f>
        <v/>
      </c>
      <c r="AI83" s="71" t="str">
        <f>IFERROR(VLOOKUP(AG83,'사용자가 입력할 시트'!$AF$2:$AG$60,2,FALSE),AG83)</f>
        <v/>
      </c>
      <c r="AJ83" s="72" t="str">
        <f t="array" ref="AJ83">IFERROR(TRIM(_xlfn.REGEXEXTRACT(AH83,"(\d+[%]?$|[A-Z]+$)")),"")</f>
        <v/>
      </c>
      <c r="AK83" s="69"/>
      <c r="AL83" s="70" t="str">
        <f t="shared" si="89"/>
        <v/>
      </c>
      <c r="AM83" s="70" t="str">
        <f t="array" ref="AM83">IFERROR(TRIM(_xlfn.REGEXEXTRACT(AK83,"(\d.+[%]?$|[0-9]|[A-Z]+$)")),"")</f>
        <v/>
      </c>
      <c r="AN83" s="71" t="str">
        <f>IFERROR(VLOOKUP(AL83,'사용자가 입력할 시트'!$AF$2:$AG$60,2,FALSE),AL83)</f>
        <v/>
      </c>
      <c r="AO83" s="72" t="str">
        <f t="array" ref="AO83">IFERROR(TRIM(_xlfn.REGEXEXTRACT(AM83,"(\d+[%]?$|[A-Z]+$)")),"")</f>
        <v/>
      </c>
      <c r="AP83" s="69"/>
      <c r="AQ83" s="70" t="str">
        <f t="shared" si="90"/>
        <v/>
      </c>
      <c r="AR83" s="70" t="str">
        <f t="array" ref="AR83">IFERROR(TRIM(_xlfn.REGEXEXTRACT(AP83,"(\d.+[%]?$|[0-9]|[A-Z]+$)")),"")</f>
        <v/>
      </c>
      <c r="AS83" s="71" t="str">
        <f>IFERROR(VLOOKUP(AQ83,'사용자가 입력할 시트'!$AF$2:$AG$60,2,FALSE),AQ83)</f>
        <v/>
      </c>
      <c r="AT83" s="72" t="str">
        <f t="array" ref="AT83">IFERROR(TRIM(_xlfn.REGEXEXTRACT(AR83,"(\d+[%]?$|[A-Z]+$)")),"")</f>
        <v/>
      </c>
      <c r="AU83" s="69"/>
      <c r="AV83" s="70" t="str">
        <f t="shared" si="91"/>
        <v/>
      </c>
      <c r="AW83" s="70" t="str">
        <f t="array" ref="AW83">IFERROR(TRIM(_xlfn.REGEXEXTRACT(AU83,"(\d.+[%]?$|[0-9]|[A-Z]+$)")),"")</f>
        <v/>
      </c>
      <c r="AX83" s="71" t="str">
        <f>IFERROR(VLOOKUP(AV83,'사용자가 입력할 시트'!$AF$2:$AG$60,2,FALSE),AV83)</f>
        <v/>
      </c>
      <c r="AY83" s="72" t="str">
        <f t="array" ref="AY83">IFERROR(TRIM(_xlfn.REGEXEXTRACT(AW83,"(\d+[%]?$|[A-Z]+$)")),"")</f>
        <v/>
      </c>
      <c r="AZ83" s="69"/>
      <c r="BA83" s="70" t="str">
        <f t="shared" si="92"/>
        <v/>
      </c>
      <c r="BB83" s="70" t="str">
        <f t="array" ref="BB83">IFERROR(TRIM(_xlfn.REGEXEXTRACT(AZ83,"(\d.+[%]?$|[0-9]|[A-Z]+$)")),"")</f>
        <v/>
      </c>
      <c r="BC83" s="71" t="str">
        <f>IFERROR(VLOOKUP(BA83,'사용자가 입력할 시트'!$AF$2:$AG$60,2,FALSE),BA83)</f>
        <v/>
      </c>
      <c r="BD83" s="72" t="str">
        <f t="array" ref="BD83">IFERROR(TRIM(_xlfn.REGEXEXTRACT(BB83,"(\d+[%]?$|[A-Z]+$)")),"")</f>
        <v/>
      </c>
      <c r="BE83" s="69"/>
      <c r="BF83" s="70" t="str">
        <f t="shared" si="93"/>
        <v/>
      </c>
      <c r="BG83" s="70" t="str">
        <f t="array" ref="BG83">IFERROR(TRIM(_xlfn.REGEXEXTRACT(BE83,"(\d.+[%]?$|[0-9]|[A-Z]+$)")),"")</f>
        <v/>
      </c>
      <c r="BH83" s="71" t="str">
        <f>IFERROR(VLOOKUP(BF83,'사용자가 입력할 시트'!$AF$2:$AG$60,2,FALSE),BF83)</f>
        <v/>
      </c>
      <c r="BI83" s="72" t="str">
        <f t="array" ref="BI83">IFERROR(TRIM(_xlfn.REGEXEXTRACT(BG83,"(\d+[%]?$|[A-Z]+$)")),"")</f>
        <v/>
      </c>
      <c r="BJ83" s="69"/>
      <c r="BK83" s="70" t="str">
        <f t="shared" si="94"/>
        <v/>
      </c>
      <c r="BL83" s="70" t="str">
        <f t="array" ref="BL83">IFERROR(TRIM(_xlfn.REGEXEXTRACT(BJ83,"(\d.+[%]?$|[0-9]|[A-Z]+$)")),"")</f>
        <v/>
      </c>
      <c r="BM83" s="71" t="str">
        <f>IFERROR(VLOOKUP(BK83,'사용자가 입력할 시트'!$AF$2:$AG$60,2,FALSE),BK83)</f>
        <v/>
      </c>
      <c r="BN83" s="72" t="str">
        <f t="array" ref="BN83">IFERROR(TRIM(_xlfn.REGEXEXTRACT(BL83,"(\d+[%]?$|[A-Z]+$)")),"")</f>
        <v/>
      </c>
      <c r="BO83" s="69"/>
      <c r="BP83" s="70" t="str">
        <f t="shared" si="95"/>
        <v/>
      </c>
      <c r="BQ83" s="70" t="str">
        <f t="array" ref="BQ83">IFERROR(TRIM(_xlfn.REGEXEXTRACT(BO83,"(\d.+[%]?$|[0-9]|[A-Z]+$)")),"")</f>
        <v/>
      </c>
      <c r="BR83" s="71" t="str">
        <f>IFERROR(VLOOKUP(BP83,'사용자가 입력할 시트'!$AF$2:$AG$60,2,FALSE),BP83)</f>
        <v/>
      </c>
      <c r="BS83" s="72" t="str">
        <f t="array" ref="BS83">IFERROR(TRIM(_xlfn.REGEXEXTRACT(BQ83,"(\d+[%]?$|[A-Z]+$)")),"")</f>
        <v/>
      </c>
      <c r="BT83" s="69"/>
      <c r="BU83" s="70" t="str">
        <f t="shared" si="96"/>
        <v/>
      </c>
      <c r="BV83" s="70" t="str">
        <f t="array" ref="BV83">IFERROR(TRIM(_xlfn.REGEXEXTRACT(BT83,"(\d.+[%]?$|[0-9]|[A-Z]+$)")),"")</f>
        <v/>
      </c>
      <c r="BW83" s="71" t="str">
        <f>IFERROR(VLOOKUP(BU83,'사용자가 입력할 시트'!$AF$2:$AG$60,2,FALSE),BU83)</f>
        <v/>
      </c>
      <c r="BX83" s="72" t="str">
        <f t="array" ref="BX83">IFERROR(TRIM(_xlfn.REGEXEXTRACT(BV83,"(\d+[%]?$|[A-Z]+$)")),"")</f>
        <v/>
      </c>
      <c r="BY83" s="69"/>
      <c r="BZ83" s="70" t="str">
        <f t="shared" si="97"/>
        <v/>
      </c>
      <c r="CA83" s="70" t="str">
        <f t="array" ref="CA83">IFERROR(TRIM(_xlfn.REGEXEXTRACT(BY83,"(\d.+[%]?$|[0-9]|[A-Z]+$)")),"")</f>
        <v/>
      </c>
      <c r="CB83" s="71" t="str">
        <f>IFERROR(VLOOKUP(BZ83,'사용자가 입력할 시트'!$AF$2:$AG$60,2,FALSE),BZ83)</f>
        <v/>
      </c>
      <c r="CC83" s="72" t="str">
        <f t="array" ref="CC83">IFERROR(TRIM(_xlfn.REGEXEXTRACT(CA83,"(\d+[%]?$|[A-Z]+$)")),"")</f>
        <v/>
      </c>
    </row>
    <row r="84" spans="23:81">
      <c r="W84" s="2" t="str">
        <f t="shared" ca="1" si="84"/>
        <v/>
      </c>
      <c r="X84" s="2" t="str">
        <f t="shared" ca="1" si="85"/>
        <v/>
      </c>
      <c r="Y84" s="2" t="str">
        <f t="shared" ca="1" si="86"/>
        <v/>
      </c>
      <c r="Z84" s="42" t="str">
        <f t="shared" ref="Z84" ca="1" si="111">IF(X83="","",$X$4&amp;" :"&amp;X83&amp;IF(X83=X84,"","("&amp;X84&amp;")"))</f>
        <v/>
      </c>
      <c r="AF84" s="69"/>
      <c r="AG84" s="70" t="str">
        <f t="shared" si="88"/>
        <v/>
      </c>
      <c r="AH84" s="70" t="str">
        <f t="array" ref="AH84">IFERROR(TRIM(_xlfn.REGEXEXTRACT(AF84,"(\d.+[%]?$|[0-9]|[A-Z]+$)")),"")</f>
        <v/>
      </c>
      <c r="AI84" s="71" t="str">
        <f>IFERROR(VLOOKUP(AG84,'사용자가 입력할 시트'!$AF$2:$AG$60,2,FALSE),AG84)</f>
        <v/>
      </c>
      <c r="AJ84" s="72" t="str">
        <f t="array" ref="AJ84">IFERROR(TRIM(_xlfn.REGEXEXTRACT(AH84,"(\d+[%]?$|[A-Z]+$)")),"")</f>
        <v/>
      </c>
      <c r="AK84" s="69"/>
      <c r="AL84" s="70" t="str">
        <f t="shared" si="89"/>
        <v/>
      </c>
      <c r="AM84" s="70" t="str">
        <f t="array" ref="AM84">IFERROR(TRIM(_xlfn.REGEXEXTRACT(AK84,"(\d.+[%]?$|[0-9]|[A-Z]+$)")),"")</f>
        <v/>
      </c>
      <c r="AN84" s="71" t="str">
        <f>IFERROR(VLOOKUP(AL84,'사용자가 입력할 시트'!$AF$2:$AG$60,2,FALSE),AL84)</f>
        <v/>
      </c>
      <c r="AO84" s="72" t="str">
        <f t="array" ref="AO84">IFERROR(TRIM(_xlfn.REGEXEXTRACT(AM84,"(\d+[%]?$|[A-Z]+$)")),"")</f>
        <v/>
      </c>
      <c r="AP84" s="69"/>
      <c r="AQ84" s="70" t="str">
        <f t="shared" si="90"/>
        <v/>
      </c>
      <c r="AR84" s="70" t="str">
        <f t="array" ref="AR84">IFERROR(TRIM(_xlfn.REGEXEXTRACT(AP84,"(\d.+[%]?$|[0-9]|[A-Z]+$)")),"")</f>
        <v/>
      </c>
      <c r="AS84" s="71" t="str">
        <f>IFERROR(VLOOKUP(AQ84,'사용자가 입력할 시트'!$AF$2:$AG$60,2,FALSE),AQ84)</f>
        <v/>
      </c>
      <c r="AT84" s="72" t="str">
        <f t="array" ref="AT84">IFERROR(TRIM(_xlfn.REGEXEXTRACT(AR84,"(\d+[%]?$|[A-Z]+$)")),"")</f>
        <v/>
      </c>
      <c r="AU84" s="69"/>
      <c r="AV84" s="70" t="str">
        <f t="shared" si="91"/>
        <v/>
      </c>
      <c r="AW84" s="70" t="str">
        <f t="array" ref="AW84">IFERROR(TRIM(_xlfn.REGEXEXTRACT(AU84,"(\d.+[%]?$|[0-9]|[A-Z]+$)")),"")</f>
        <v/>
      </c>
      <c r="AX84" s="71" t="str">
        <f>IFERROR(VLOOKUP(AV84,'사용자가 입력할 시트'!$AF$2:$AG$60,2,FALSE),AV84)</f>
        <v/>
      </c>
      <c r="AY84" s="72" t="str">
        <f t="array" ref="AY84">IFERROR(TRIM(_xlfn.REGEXEXTRACT(AW84,"(\d+[%]?$|[A-Z]+$)")),"")</f>
        <v/>
      </c>
      <c r="AZ84" s="69"/>
      <c r="BA84" s="70" t="str">
        <f t="shared" si="92"/>
        <v/>
      </c>
      <c r="BB84" s="70" t="str">
        <f t="array" ref="BB84">IFERROR(TRIM(_xlfn.REGEXEXTRACT(AZ84,"(\d.+[%]?$|[0-9]|[A-Z]+$)")),"")</f>
        <v/>
      </c>
      <c r="BC84" s="71" t="str">
        <f>IFERROR(VLOOKUP(BA84,'사용자가 입력할 시트'!$AF$2:$AG$60,2,FALSE),BA84)</f>
        <v/>
      </c>
      <c r="BD84" s="72" t="str">
        <f t="array" ref="BD84">IFERROR(TRIM(_xlfn.REGEXEXTRACT(BB84,"(\d+[%]?$|[A-Z]+$)")),"")</f>
        <v/>
      </c>
      <c r="BE84" s="69"/>
      <c r="BF84" s="70" t="str">
        <f t="shared" si="93"/>
        <v/>
      </c>
      <c r="BG84" s="70" t="str">
        <f t="array" ref="BG84">IFERROR(TRIM(_xlfn.REGEXEXTRACT(BE84,"(\d.+[%]?$|[0-9]|[A-Z]+$)")),"")</f>
        <v/>
      </c>
      <c r="BH84" s="71" t="str">
        <f>IFERROR(VLOOKUP(BF84,'사용자가 입력할 시트'!$AF$2:$AG$60,2,FALSE),BF84)</f>
        <v/>
      </c>
      <c r="BI84" s="72" t="str">
        <f t="array" ref="BI84">IFERROR(TRIM(_xlfn.REGEXEXTRACT(BG84,"(\d+[%]?$|[A-Z]+$)")),"")</f>
        <v/>
      </c>
      <c r="BJ84" s="69"/>
      <c r="BK84" s="70" t="str">
        <f t="shared" si="94"/>
        <v/>
      </c>
      <c r="BL84" s="70" t="str">
        <f t="array" ref="BL84">IFERROR(TRIM(_xlfn.REGEXEXTRACT(BJ84,"(\d.+[%]?$|[0-9]|[A-Z]+$)")),"")</f>
        <v/>
      </c>
      <c r="BM84" s="71" t="str">
        <f>IFERROR(VLOOKUP(BK84,'사용자가 입력할 시트'!$AF$2:$AG$60,2,FALSE),BK84)</f>
        <v/>
      </c>
      <c r="BN84" s="72" t="str">
        <f t="array" ref="BN84">IFERROR(TRIM(_xlfn.REGEXEXTRACT(BL84,"(\d+[%]?$|[A-Z]+$)")),"")</f>
        <v/>
      </c>
      <c r="BO84" s="69"/>
      <c r="BP84" s="70" t="str">
        <f t="shared" si="95"/>
        <v/>
      </c>
      <c r="BQ84" s="70" t="str">
        <f t="array" ref="BQ84">IFERROR(TRIM(_xlfn.REGEXEXTRACT(BO84,"(\d.+[%]?$|[0-9]|[A-Z]+$)")),"")</f>
        <v/>
      </c>
      <c r="BR84" s="71" t="str">
        <f>IFERROR(VLOOKUP(BP84,'사용자가 입력할 시트'!$AF$2:$AG$60,2,FALSE),BP84)</f>
        <v/>
      </c>
      <c r="BS84" s="72" t="str">
        <f t="array" ref="BS84">IFERROR(TRIM(_xlfn.REGEXEXTRACT(BQ84,"(\d+[%]?$|[A-Z]+$)")),"")</f>
        <v/>
      </c>
      <c r="BT84" s="69"/>
      <c r="BU84" s="70" t="str">
        <f t="shared" si="96"/>
        <v/>
      </c>
      <c r="BV84" s="70" t="str">
        <f t="array" ref="BV84">IFERROR(TRIM(_xlfn.REGEXEXTRACT(BT84,"(\d.+[%]?$|[0-9]|[A-Z]+$)")),"")</f>
        <v/>
      </c>
      <c r="BW84" s="71" t="str">
        <f>IFERROR(VLOOKUP(BU84,'사용자가 입력할 시트'!$AF$2:$AG$60,2,FALSE),BU84)</f>
        <v/>
      </c>
      <c r="BX84" s="72" t="str">
        <f t="array" ref="BX84">IFERROR(TRIM(_xlfn.REGEXEXTRACT(BV84,"(\d+[%]?$|[A-Z]+$)")),"")</f>
        <v/>
      </c>
      <c r="BY84" s="69"/>
      <c r="BZ84" s="70" t="str">
        <f t="shared" si="97"/>
        <v/>
      </c>
      <c r="CA84" s="70" t="str">
        <f t="array" ref="CA84">IFERROR(TRIM(_xlfn.REGEXEXTRACT(BY84,"(\d.+[%]?$|[0-9]|[A-Z]+$)")),"")</f>
        <v/>
      </c>
      <c r="CB84" s="71" t="str">
        <f>IFERROR(VLOOKUP(BZ84,'사용자가 입력할 시트'!$AF$2:$AG$60,2,FALSE),BZ84)</f>
        <v/>
      </c>
      <c r="CC84" s="72" t="str">
        <f t="array" ref="CC84">IFERROR(TRIM(_xlfn.REGEXEXTRACT(CA84,"(\d+[%]?$|[A-Z]+$)")),"")</f>
        <v/>
      </c>
    </row>
    <row r="85" spans="23:81">
      <c r="W85" s="2" t="str">
        <f t="shared" ca="1" si="84"/>
        <v/>
      </c>
      <c r="X85" s="2" t="str">
        <f t="shared" ca="1" si="85"/>
        <v/>
      </c>
      <c r="Y85" s="2" t="str">
        <f t="shared" ca="1" si="86"/>
        <v/>
      </c>
      <c r="Z85" s="42" t="str">
        <f t="shared" ref="Z85" ca="1" si="112">IF(Y83="","",$Y$4&amp;" :"&amp;Y83&amp;IF(Y83=Y84,"","("&amp;Y84&amp;")"))</f>
        <v/>
      </c>
      <c r="AF85" s="69"/>
      <c r="AG85" s="70" t="str">
        <f t="shared" si="88"/>
        <v/>
      </c>
      <c r="AH85" s="70" t="str">
        <f t="array" ref="AH85">IFERROR(TRIM(_xlfn.REGEXEXTRACT(AF85,"(\d.+[%]?$|[0-9]|[A-Z]+$)")),"")</f>
        <v/>
      </c>
      <c r="AI85" s="71" t="str">
        <f>IFERROR(VLOOKUP(AG85,'사용자가 입력할 시트'!$AF$2:$AG$60,2,FALSE),AG85)</f>
        <v/>
      </c>
      <c r="AJ85" s="72" t="str">
        <f t="array" ref="AJ85">IFERROR(TRIM(_xlfn.REGEXEXTRACT(AH85,"(\d+[%]?$|[A-Z]+$)")),"")</f>
        <v/>
      </c>
      <c r="AK85" s="69"/>
      <c r="AL85" s="70" t="str">
        <f t="shared" si="89"/>
        <v/>
      </c>
      <c r="AM85" s="70" t="str">
        <f t="array" ref="AM85">IFERROR(TRIM(_xlfn.REGEXEXTRACT(AK85,"(\d.+[%]?$|[0-9]|[A-Z]+$)")),"")</f>
        <v/>
      </c>
      <c r="AN85" s="71" t="str">
        <f>IFERROR(VLOOKUP(AL85,'사용자가 입력할 시트'!$AF$2:$AG$60,2,FALSE),AL85)</f>
        <v/>
      </c>
      <c r="AO85" s="72" t="str">
        <f t="array" ref="AO85">IFERROR(TRIM(_xlfn.REGEXEXTRACT(AM85,"(\d+[%]?$|[A-Z]+$)")),"")</f>
        <v/>
      </c>
      <c r="AP85" s="69"/>
      <c r="AQ85" s="70" t="str">
        <f t="shared" si="90"/>
        <v/>
      </c>
      <c r="AR85" s="70" t="str">
        <f t="array" ref="AR85">IFERROR(TRIM(_xlfn.REGEXEXTRACT(AP85,"(\d.+[%]?$|[0-9]|[A-Z]+$)")),"")</f>
        <v/>
      </c>
      <c r="AS85" s="71" t="str">
        <f>IFERROR(VLOOKUP(AQ85,'사용자가 입력할 시트'!$AF$2:$AG$60,2,FALSE),AQ85)</f>
        <v/>
      </c>
      <c r="AT85" s="72" t="str">
        <f t="array" ref="AT85">IFERROR(TRIM(_xlfn.REGEXEXTRACT(AR85,"(\d+[%]?$|[A-Z]+$)")),"")</f>
        <v/>
      </c>
      <c r="AU85" s="69"/>
      <c r="AV85" s="70" t="str">
        <f t="shared" si="91"/>
        <v/>
      </c>
      <c r="AW85" s="70" t="str">
        <f t="array" ref="AW85">IFERROR(TRIM(_xlfn.REGEXEXTRACT(AU85,"(\d.+[%]?$|[0-9]|[A-Z]+$)")),"")</f>
        <v/>
      </c>
      <c r="AX85" s="71" t="str">
        <f>IFERROR(VLOOKUP(AV85,'사용자가 입력할 시트'!$AF$2:$AG$60,2,FALSE),AV85)</f>
        <v/>
      </c>
      <c r="AY85" s="72" t="str">
        <f t="array" ref="AY85">IFERROR(TRIM(_xlfn.REGEXEXTRACT(AW85,"(\d+[%]?$|[A-Z]+$)")),"")</f>
        <v/>
      </c>
      <c r="AZ85" s="69"/>
      <c r="BA85" s="70" t="str">
        <f t="shared" si="92"/>
        <v/>
      </c>
      <c r="BB85" s="70" t="str">
        <f t="array" ref="BB85">IFERROR(TRIM(_xlfn.REGEXEXTRACT(AZ85,"(\d.+[%]?$|[0-9]|[A-Z]+$)")),"")</f>
        <v/>
      </c>
      <c r="BC85" s="71" t="str">
        <f>IFERROR(VLOOKUP(BA85,'사용자가 입력할 시트'!$AF$2:$AG$60,2,FALSE),BA85)</f>
        <v/>
      </c>
      <c r="BD85" s="72" t="str">
        <f t="array" ref="BD85">IFERROR(TRIM(_xlfn.REGEXEXTRACT(BB85,"(\d+[%]?$|[A-Z]+$)")),"")</f>
        <v/>
      </c>
      <c r="BE85" s="69"/>
      <c r="BF85" s="70" t="str">
        <f t="shared" si="93"/>
        <v/>
      </c>
      <c r="BG85" s="70" t="str">
        <f t="array" ref="BG85">IFERROR(TRIM(_xlfn.REGEXEXTRACT(BE85,"(\d.+[%]?$|[0-9]|[A-Z]+$)")),"")</f>
        <v/>
      </c>
      <c r="BH85" s="71" t="str">
        <f>IFERROR(VLOOKUP(BF85,'사용자가 입력할 시트'!$AF$2:$AG$60,2,FALSE),BF85)</f>
        <v/>
      </c>
      <c r="BI85" s="72" t="str">
        <f t="array" ref="BI85">IFERROR(TRIM(_xlfn.REGEXEXTRACT(BG85,"(\d+[%]?$|[A-Z]+$)")),"")</f>
        <v/>
      </c>
      <c r="BJ85" s="69"/>
      <c r="BK85" s="70" t="str">
        <f t="shared" si="94"/>
        <v/>
      </c>
      <c r="BL85" s="70" t="str">
        <f t="array" ref="BL85">IFERROR(TRIM(_xlfn.REGEXEXTRACT(BJ85,"(\d.+[%]?$|[0-9]|[A-Z]+$)")),"")</f>
        <v/>
      </c>
      <c r="BM85" s="71" t="str">
        <f>IFERROR(VLOOKUP(BK85,'사용자가 입력할 시트'!$AF$2:$AG$60,2,FALSE),BK85)</f>
        <v/>
      </c>
      <c r="BN85" s="72" t="str">
        <f t="array" ref="BN85">IFERROR(TRIM(_xlfn.REGEXEXTRACT(BL85,"(\d+[%]?$|[A-Z]+$)")),"")</f>
        <v/>
      </c>
      <c r="BO85" s="69"/>
      <c r="BP85" s="70" t="str">
        <f t="shared" si="95"/>
        <v/>
      </c>
      <c r="BQ85" s="70" t="str">
        <f t="array" ref="BQ85">IFERROR(TRIM(_xlfn.REGEXEXTRACT(BO85,"(\d.+[%]?$|[0-9]|[A-Z]+$)")),"")</f>
        <v/>
      </c>
      <c r="BR85" s="71" t="str">
        <f>IFERROR(VLOOKUP(BP85,'사용자가 입력할 시트'!$AF$2:$AG$60,2,FALSE),BP85)</f>
        <v/>
      </c>
      <c r="BS85" s="72" t="str">
        <f t="array" ref="BS85">IFERROR(TRIM(_xlfn.REGEXEXTRACT(BQ85,"(\d+[%]?$|[A-Z]+$)")),"")</f>
        <v/>
      </c>
      <c r="BT85" s="69"/>
      <c r="BU85" s="70" t="str">
        <f t="shared" si="96"/>
        <v/>
      </c>
      <c r="BV85" s="70" t="str">
        <f t="array" ref="BV85">IFERROR(TRIM(_xlfn.REGEXEXTRACT(BT85,"(\d.+[%]?$|[0-9]|[A-Z]+$)")),"")</f>
        <v/>
      </c>
      <c r="BW85" s="71" t="str">
        <f>IFERROR(VLOOKUP(BU85,'사용자가 입력할 시트'!$AF$2:$AG$60,2,FALSE),BU85)</f>
        <v/>
      </c>
      <c r="BX85" s="72" t="str">
        <f t="array" ref="BX85">IFERROR(TRIM(_xlfn.REGEXEXTRACT(BV85,"(\d+[%]?$|[A-Z]+$)")),"")</f>
        <v/>
      </c>
      <c r="BY85" s="69"/>
      <c r="BZ85" s="70" t="str">
        <f t="shared" si="97"/>
        <v/>
      </c>
      <c r="CA85" s="70" t="str">
        <f t="array" ref="CA85">IFERROR(TRIM(_xlfn.REGEXEXTRACT(BY85,"(\d.+[%]?$|[0-9]|[A-Z]+$)")),"")</f>
        <v/>
      </c>
      <c r="CB85" s="71" t="str">
        <f>IFERROR(VLOOKUP(BZ85,'사용자가 입력할 시트'!$AF$2:$AG$60,2,FALSE),BZ85)</f>
        <v/>
      </c>
      <c r="CC85" s="72" t="str">
        <f t="array" ref="CC85">IFERROR(TRIM(_xlfn.REGEXEXTRACT(CA85,"(\d+[%]?$|[A-Z]+$)")),"")</f>
        <v/>
      </c>
    </row>
    <row r="86" spans="23:81">
      <c r="W86" s="2" t="str">
        <f t="shared" ca="1" si="84"/>
        <v/>
      </c>
      <c r="X86" s="2" t="str">
        <f t="shared" ca="1" si="85"/>
        <v/>
      </c>
      <c r="Y86" s="2" t="str">
        <f t="shared" ca="1" si="86"/>
        <v/>
      </c>
      <c r="Z86" s="42" t="str">
        <f t="shared" ref="Z86" ca="1" si="113">IF(W86="","",$W$4&amp;" :"&amp;W86&amp;IF(W86=W87,"","("&amp;W87&amp;")"))</f>
        <v/>
      </c>
      <c r="AF86" s="69"/>
      <c r="AG86" s="70" t="str">
        <f t="shared" si="88"/>
        <v/>
      </c>
      <c r="AH86" s="70" t="str">
        <f t="array" ref="AH86">IFERROR(TRIM(_xlfn.REGEXEXTRACT(AF86,"(\d.+[%]?$|[0-9]|[A-Z]+$)")),"")</f>
        <v/>
      </c>
      <c r="AI86" s="71" t="str">
        <f>IFERROR(VLOOKUP(AG86,'사용자가 입력할 시트'!$AF$2:$AG$60,2,FALSE),AG86)</f>
        <v/>
      </c>
      <c r="AJ86" s="72" t="str">
        <f t="array" ref="AJ86">IFERROR(TRIM(_xlfn.REGEXEXTRACT(AH86,"(\d+[%]?$|[A-Z]+$)")),"")</f>
        <v/>
      </c>
      <c r="AK86" s="69"/>
      <c r="AL86" s="70" t="str">
        <f t="shared" si="89"/>
        <v/>
      </c>
      <c r="AM86" s="70" t="str">
        <f t="array" ref="AM86">IFERROR(TRIM(_xlfn.REGEXEXTRACT(AK86,"(\d.+[%]?$|[0-9]|[A-Z]+$)")),"")</f>
        <v/>
      </c>
      <c r="AN86" s="71" t="str">
        <f>IFERROR(VLOOKUP(AL86,'사용자가 입력할 시트'!$AF$2:$AG$60,2,FALSE),AL86)</f>
        <v/>
      </c>
      <c r="AO86" s="72" t="str">
        <f t="array" ref="AO86">IFERROR(TRIM(_xlfn.REGEXEXTRACT(AM86,"(\d+[%]?$|[A-Z]+$)")),"")</f>
        <v/>
      </c>
      <c r="AP86" s="69"/>
      <c r="AQ86" s="70" t="str">
        <f t="shared" si="90"/>
        <v/>
      </c>
      <c r="AR86" s="70" t="str">
        <f t="array" ref="AR86">IFERROR(TRIM(_xlfn.REGEXEXTRACT(AP86,"(\d.+[%]?$|[0-9]|[A-Z]+$)")),"")</f>
        <v/>
      </c>
      <c r="AS86" s="71" t="str">
        <f>IFERROR(VLOOKUP(AQ86,'사용자가 입력할 시트'!$AF$2:$AG$60,2,FALSE),AQ86)</f>
        <v/>
      </c>
      <c r="AT86" s="72" t="str">
        <f t="array" ref="AT86">IFERROR(TRIM(_xlfn.REGEXEXTRACT(AR86,"(\d+[%]?$|[A-Z]+$)")),"")</f>
        <v/>
      </c>
      <c r="AU86" s="69"/>
      <c r="AV86" s="70" t="str">
        <f t="shared" si="91"/>
        <v/>
      </c>
      <c r="AW86" s="70" t="str">
        <f t="array" ref="AW86">IFERROR(TRIM(_xlfn.REGEXEXTRACT(AU86,"(\d.+[%]?$|[0-9]|[A-Z]+$)")),"")</f>
        <v/>
      </c>
      <c r="AX86" s="71" t="str">
        <f>IFERROR(VLOOKUP(AV86,'사용자가 입력할 시트'!$AF$2:$AG$60,2,FALSE),AV86)</f>
        <v/>
      </c>
      <c r="AY86" s="72" t="str">
        <f t="array" ref="AY86">IFERROR(TRIM(_xlfn.REGEXEXTRACT(AW86,"(\d+[%]?$|[A-Z]+$)")),"")</f>
        <v/>
      </c>
      <c r="AZ86" s="69"/>
      <c r="BA86" s="70" t="str">
        <f t="shared" si="92"/>
        <v/>
      </c>
      <c r="BB86" s="70" t="str">
        <f t="array" ref="BB86">IFERROR(TRIM(_xlfn.REGEXEXTRACT(AZ86,"(\d.+[%]?$|[0-9]|[A-Z]+$)")),"")</f>
        <v/>
      </c>
      <c r="BC86" s="71" t="str">
        <f>IFERROR(VLOOKUP(BA86,'사용자가 입력할 시트'!$AF$2:$AG$60,2,FALSE),BA86)</f>
        <v/>
      </c>
      <c r="BD86" s="72" t="str">
        <f t="array" ref="BD86">IFERROR(TRIM(_xlfn.REGEXEXTRACT(BB86,"(\d+[%]?$|[A-Z]+$)")),"")</f>
        <v/>
      </c>
      <c r="BE86" s="69"/>
      <c r="BF86" s="70" t="str">
        <f t="shared" si="93"/>
        <v/>
      </c>
      <c r="BG86" s="70" t="str">
        <f t="array" ref="BG86">IFERROR(TRIM(_xlfn.REGEXEXTRACT(BE86,"(\d.+[%]?$|[0-9]|[A-Z]+$)")),"")</f>
        <v/>
      </c>
      <c r="BH86" s="71" t="str">
        <f>IFERROR(VLOOKUP(BF86,'사용자가 입력할 시트'!$AF$2:$AG$60,2,FALSE),BF86)</f>
        <v/>
      </c>
      <c r="BI86" s="72" t="str">
        <f t="array" ref="BI86">IFERROR(TRIM(_xlfn.REGEXEXTRACT(BG86,"(\d+[%]?$|[A-Z]+$)")),"")</f>
        <v/>
      </c>
      <c r="BJ86" s="69"/>
      <c r="BK86" s="70" t="str">
        <f t="shared" si="94"/>
        <v/>
      </c>
      <c r="BL86" s="70" t="str">
        <f t="array" ref="BL86">IFERROR(TRIM(_xlfn.REGEXEXTRACT(BJ86,"(\d.+[%]?$|[0-9]|[A-Z]+$)")),"")</f>
        <v/>
      </c>
      <c r="BM86" s="71" t="str">
        <f>IFERROR(VLOOKUP(BK86,'사용자가 입력할 시트'!$AF$2:$AG$60,2,FALSE),BK86)</f>
        <v/>
      </c>
      <c r="BN86" s="72" t="str">
        <f t="array" ref="BN86">IFERROR(TRIM(_xlfn.REGEXEXTRACT(BL86,"(\d+[%]?$|[A-Z]+$)")),"")</f>
        <v/>
      </c>
      <c r="BO86" s="69"/>
      <c r="BP86" s="70" t="str">
        <f t="shared" si="95"/>
        <v/>
      </c>
      <c r="BQ86" s="70" t="str">
        <f t="array" ref="BQ86">IFERROR(TRIM(_xlfn.REGEXEXTRACT(BO86,"(\d.+[%]?$|[0-9]|[A-Z]+$)")),"")</f>
        <v/>
      </c>
      <c r="BR86" s="71" t="str">
        <f>IFERROR(VLOOKUP(BP86,'사용자가 입력할 시트'!$AF$2:$AG$60,2,FALSE),BP86)</f>
        <v/>
      </c>
      <c r="BS86" s="72" t="str">
        <f t="array" ref="BS86">IFERROR(TRIM(_xlfn.REGEXEXTRACT(BQ86,"(\d+[%]?$|[A-Z]+$)")),"")</f>
        <v/>
      </c>
      <c r="BT86" s="69"/>
      <c r="BU86" s="70" t="str">
        <f t="shared" si="96"/>
        <v/>
      </c>
      <c r="BV86" s="70" t="str">
        <f t="array" ref="BV86">IFERROR(TRIM(_xlfn.REGEXEXTRACT(BT86,"(\d.+[%]?$|[0-9]|[A-Z]+$)")),"")</f>
        <v/>
      </c>
      <c r="BW86" s="71" t="str">
        <f>IFERROR(VLOOKUP(BU86,'사용자가 입력할 시트'!$AF$2:$AG$60,2,FALSE),BU86)</f>
        <v/>
      </c>
      <c r="BX86" s="72" t="str">
        <f t="array" ref="BX86">IFERROR(TRIM(_xlfn.REGEXEXTRACT(BV86,"(\d+[%]?$|[A-Z]+$)")),"")</f>
        <v/>
      </c>
      <c r="BY86" s="69"/>
      <c r="BZ86" s="70" t="str">
        <f t="shared" si="97"/>
        <v/>
      </c>
      <c r="CA86" s="70" t="str">
        <f t="array" ref="CA86">IFERROR(TRIM(_xlfn.REGEXEXTRACT(BY86,"(\d.+[%]?$|[0-9]|[A-Z]+$)")),"")</f>
        <v/>
      </c>
      <c r="CB86" s="71" t="str">
        <f>IFERROR(VLOOKUP(BZ86,'사용자가 입력할 시트'!$AF$2:$AG$60,2,FALSE),BZ86)</f>
        <v/>
      </c>
      <c r="CC86" s="72" t="str">
        <f t="array" ref="CC86">IFERROR(TRIM(_xlfn.REGEXEXTRACT(CA86,"(\d+[%]?$|[A-Z]+$)")),"")</f>
        <v/>
      </c>
    </row>
    <row r="87" spans="23:81">
      <c r="W87" s="2" t="str">
        <f t="shared" ca="1" si="84"/>
        <v/>
      </c>
      <c r="X87" s="2" t="str">
        <f t="shared" ca="1" si="85"/>
        <v/>
      </c>
      <c r="Y87" s="2" t="str">
        <f t="shared" ca="1" si="86"/>
        <v/>
      </c>
      <c r="Z87" s="42" t="str">
        <f t="shared" ref="Z87" ca="1" si="114">IF(X86="","",$X$4&amp;" :"&amp;X86&amp;IF(X86=X87,"","("&amp;X87&amp;")"))</f>
        <v/>
      </c>
      <c r="AF87" s="69"/>
      <c r="AG87" s="70" t="str">
        <f t="shared" si="88"/>
        <v/>
      </c>
      <c r="AH87" s="70" t="str">
        <f t="array" ref="AH87">IFERROR(TRIM(_xlfn.REGEXEXTRACT(AF87,"(\d.+[%]?$|[0-9]|[A-Z]+$)")),"")</f>
        <v/>
      </c>
      <c r="AI87" s="71" t="str">
        <f>IFERROR(VLOOKUP(AG87,'사용자가 입력할 시트'!$AF$2:$AG$60,2,FALSE),AG87)</f>
        <v/>
      </c>
      <c r="AJ87" s="72" t="str">
        <f t="array" ref="AJ87">IFERROR(TRIM(_xlfn.REGEXEXTRACT(AH87,"(\d+[%]?$|[A-Z]+$)")),"")</f>
        <v/>
      </c>
      <c r="AK87" s="69"/>
      <c r="AL87" s="70" t="str">
        <f t="shared" si="89"/>
        <v/>
      </c>
      <c r="AM87" s="70" t="str">
        <f t="array" ref="AM87">IFERROR(TRIM(_xlfn.REGEXEXTRACT(AK87,"(\d.+[%]?$|[0-9]|[A-Z]+$)")),"")</f>
        <v/>
      </c>
      <c r="AN87" s="71" t="str">
        <f>IFERROR(VLOOKUP(AL87,'사용자가 입력할 시트'!$AF$2:$AG$60,2,FALSE),AL87)</f>
        <v/>
      </c>
      <c r="AO87" s="72" t="str">
        <f t="array" ref="AO87">IFERROR(TRIM(_xlfn.REGEXEXTRACT(AM87,"(\d+[%]?$|[A-Z]+$)")),"")</f>
        <v/>
      </c>
      <c r="AP87" s="69"/>
      <c r="AQ87" s="70" t="str">
        <f t="shared" si="90"/>
        <v/>
      </c>
      <c r="AR87" s="70" t="str">
        <f t="array" ref="AR87">IFERROR(TRIM(_xlfn.REGEXEXTRACT(AP87,"(\d.+[%]?$|[0-9]|[A-Z]+$)")),"")</f>
        <v/>
      </c>
      <c r="AS87" s="71" t="str">
        <f>IFERROR(VLOOKUP(AQ87,'사용자가 입력할 시트'!$AF$2:$AG$60,2,FALSE),AQ87)</f>
        <v/>
      </c>
      <c r="AT87" s="72" t="str">
        <f t="array" ref="AT87">IFERROR(TRIM(_xlfn.REGEXEXTRACT(AR87,"(\d+[%]?$|[A-Z]+$)")),"")</f>
        <v/>
      </c>
      <c r="AU87" s="69"/>
      <c r="AV87" s="70" t="str">
        <f t="shared" si="91"/>
        <v/>
      </c>
      <c r="AW87" s="70" t="str">
        <f t="array" ref="AW87">IFERROR(TRIM(_xlfn.REGEXEXTRACT(AU87,"(\d.+[%]?$|[0-9]|[A-Z]+$)")),"")</f>
        <v/>
      </c>
      <c r="AX87" s="71" t="str">
        <f>IFERROR(VLOOKUP(AV87,'사용자가 입력할 시트'!$AF$2:$AG$60,2,FALSE),AV87)</f>
        <v/>
      </c>
      <c r="AY87" s="72" t="str">
        <f t="array" ref="AY87">IFERROR(TRIM(_xlfn.REGEXEXTRACT(AW87,"(\d+[%]?$|[A-Z]+$)")),"")</f>
        <v/>
      </c>
      <c r="AZ87" s="69"/>
      <c r="BA87" s="70" t="str">
        <f t="shared" si="92"/>
        <v/>
      </c>
      <c r="BB87" s="70" t="str">
        <f t="array" ref="BB87">IFERROR(TRIM(_xlfn.REGEXEXTRACT(AZ87,"(\d.+[%]?$|[0-9]|[A-Z]+$)")),"")</f>
        <v/>
      </c>
      <c r="BC87" s="71" t="str">
        <f>IFERROR(VLOOKUP(BA87,'사용자가 입력할 시트'!$AF$2:$AG$60,2,FALSE),BA87)</f>
        <v/>
      </c>
      <c r="BD87" s="72" t="str">
        <f t="array" ref="BD87">IFERROR(TRIM(_xlfn.REGEXEXTRACT(BB87,"(\d+[%]?$|[A-Z]+$)")),"")</f>
        <v/>
      </c>
      <c r="BE87" s="69"/>
      <c r="BF87" s="70" t="str">
        <f t="shared" si="93"/>
        <v/>
      </c>
      <c r="BG87" s="70" t="str">
        <f t="array" ref="BG87">IFERROR(TRIM(_xlfn.REGEXEXTRACT(BE87,"(\d.+[%]?$|[0-9]|[A-Z]+$)")),"")</f>
        <v/>
      </c>
      <c r="BH87" s="71" t="str">
        <f>IFERROR(VLOOKUP(BF87,'사용자가 입력할 시트'!$AF$2:$AG$60,2,FALSE),BF87)</f>
        <v/>
      </c>
      <c r="BI87" s="72" t="str">
        <f t="array" ref="BI87">IFERROR(TRIM(_xlfn.REGEXEXTRACT(BG87,"(\d+[%]?$|[A-Z]+$)")),"")</f>
        <v/>
      </c>
      <c r="BJ87" s="69"/>
      <c r="BK87" s="70" t="str">
        <f t="shared" si="94"/>
        <v/>
      </c>
      <c r="BL87" s="70" t="str">
        <f t="array" ref="BL87">IFERROR(TRIM(_xlfn.REGEXEXTRACT(BJ87,"(\d.+[%]?$|[0-9]|[A-Z]+$)")),"")</f>
        <v/>
      </c>
      <c r="BM87" s="71" t="str">
        <f>IFERROR(VLOOKUP(BK87,'사용자가 입력할 시트'!$AF$2:$AG$60,2,FALSE),BK87)</f>
        <v/>
      </c>
      <c r="BN87" s="72" t="str">
        <f t="array" ref="BN87">IFERROR(TRIM(_xlfn.REGEXEXTRACT(BL87,"(\d+[%]?$|[A-Z]+$)")),"")</f>
        <v/>
      </c>
      <c r="BO87" s="69"/>
      <c r="BP87" s="70" t="str">
        <f t="shared" si="95"/>
        <v/>
      </c>
      <c r="BQ87" s="70" t="str">
        <f t="array" ref="BQ87">IFERROR(TRIM(_xlfn.REGEXEXTRACT(BO87,"(\d.+[%]?$|[0-9]|[A-Z]+$)")),"")</f>
        <v/>
      </c>
      <c r="BR87" s="71" t="str">
        <f>IFERROR(VLOOKUP(BP87,'사용자가 입력할 시트'!$AF$2:$AG$60,2,FALSE),BP87)</f>
        <v/>
      </c>
      <c r="BS87" s="72" t="str">
        <f t="array" ref="BS87">IFERROR(TRIM(_xlfn.REGEXEXTRACT(BQ87,"(\d+[%]?$|[A-Z]+$)")),"")</f>
        <v/>
      </c>
      <c r="BT87" s="69"/>
      <c r="BU87" s="70" t="str">
        <f t="shared" si="96"/>
        <v/>
      </c>
      <c r="BV87" s="70" t="str">
        <f t="array" ref="BV87">IFERROR(TRIM(_xlfn.REGEXEXTRACT(BT87,"(\d.+[%]?$|[0-9]|[A-Z]+$)")),"")</f>
        <v/>
      </c>
      <c r="BW87" s="71" t="str">
        <f>IFERROR(VLOOKUP(BU87,'사용자가 입력할 시트'!$AF$2:$AG$60,2,FALSE),BU87)</f>
        <v/>
      </c>
      <c r="BX87" s="72" t="str">
        <f t="array" ref="BX87">IFERROR(TRIM(_xlfn.REGEXEXTRACT(BV87,"(\d+[%]?$|[A-Z]+$)")),"")</f>
        <v/>
      </c>
      <c r="BY87" s="69"/>
      <c r="BZ87" s="70" t="str">
        <f t="shared" si="97"/>
        <v/>
      </c>
      <c r="CA87" s="70" t="str">
        <f t="array" ref="CA87">IFERROR(TRIM(_xlfn.REGEXEXTRACT(BY87,"(\d.+[%]?$|[0-9]|[A-Z]+$)")),"")</f>
        <v/>
      </c>
      <c r="CB87" s="71" t="str">
        <f>IFERROR(VLOOKUP(BZ87,'사용자가 입력할 시트'!$AF$2:$AG$60,2,FALSE),BZ87)</f>
        <v/>
      </c>
      <c r="CC87" s="72" t="str">
        <f t="array" ref="CC87">IFERROR(TRIM(_xlfn.REGEXEXTRACT(CA87,"(\d+[%]?$|[A-Z]+$)")),"")</f>
        <v/>
      </c>
    </row>
    <row r="88" spans="23:81">
      <c r="W88" s="2" t="str">
        <f t="shared" ca="1" si="84"/>
        <v/>
      </c>
      <c r="X88" s="2" t="str">
        <f t="shared" ca="1" si="85"/>
        <v/>
      </c>
      <c r="Y88" s="2" t="str">
        <f t="shared" ca="1" si="86"/>
        <v/>
      </c>
      <c r="Z88" s="42" t="str">
        <f t="shared" ref="Z88" ca="1" si="115">IF(Y86="","",$Y$4&amp;" :"&amp;Y86&amp;IF(Y86=Y87,"","("&amp;Y87&amp;")"))</f>
        <v/>
      </c>
      <c r="AF88" s="69"/>
      <c r="AG88" s="70" t="str">
        <f t="shared" si="88"/>
        <v/>
      </c>
      <c r="AH88" s="70" t="str">
        <f t="array" ref="AH88">IFERROR(TRIM(_xlfn.REGEXEXTRACT(AF88,"(\d.+[%]?$|[0-9]|[A-Z]+$)")),"")</f>
        <v/>
      </c>
      <c r="AI88" s="71" t="str">
        <f>IFERROR(VLOOKUP(AG88,'사용자가 입력할 시트'!$AF$2:$AG$60,2,FALSE),AG88)</f>
        <v/>
      </c>
      <c r="AJ88" s="72" t="str">
        <f t="array" ref="AJ88">IFERROR(TRIM(_xlfn.REGEXEXTRACT(AH88,"(\d+[%]?$|[A-Z]+$)")),"")</f>
        <v/>
      </c>
      <c r="AK88" s="69"/>
      <c r="AL88" s="70" t="str">
        <f t="shared" si="89"/>
        <v/>
      </c>
      <c r="AM88" s="70" t="str">
        <f t="array" ref="AM88">IFERROR(TRIM(_xlfn.REGEXEXTRACT(AK88,"(\d.+[%]?$|[0-9]|[A-Z]+$)")),"")</f>
        <v/>
      </c>
      <c r="AN88" s="71" t="str">
        <f>IFERROR(VLOOKUP(AL88,'사용자가 입력할 시트'!$AF$2:$AG$60,2,FALSE),AL88)</f>
        <v/>
      </c>
      <c r="AO88" s="72" t="str">
        <f t="array" ref="AO88">IFERROR(TRIM(_xlfn.REGEXEXTRACT(AM88,"(\d+[%]?$|[A-Z]+$)")),"")</f>
        <v/>
      </c>
      <c r="AP88" s="69"/>
      <c r="AQ88" s="70" t="str">
        <f t="shared" si="90"/>
        <v/>
      </c>
      <c r="AR88" s="70" t="str">
        <f t="array" ref="AR88">IFERROR(TRIM(_xlfn.REGEXEXTRACT(AP88,"(\d.+[%]?$|[0-9]|[A-Z]+$)")),"")</f>
        <v/>
      </c>
      <c r="AS88" s="71" t="str">
        <f>IFERROR(VLOOKUP(AQ88,'사용자가 입력할 시트'!$AF$2:$AG$60,2,FALSE),AQ88)</f>
        <v/>
      </c>
      <c r="AT88" s="72" t="str">
        <f t="array" ref="AT88">IFERROR(TRIM(_xlfn.REGEXEXTRACT(AR88,"(\d+[%]?$|[A-Z]+$)")),"")</f>
        <v/>
      </c>
      <c r="AU88" s="69"/>
      <c r="AV88" s="70" t="str">
        <f t="shared" si="91"/>
        <v/>
      </c>
      <c r="AW88" s="70" t="str">
        <f t="array" ref="AW88">IFERROR(TRIM(_xlfn.REGEXEXTRACT(AU88,"(\d.+[%]?$|[0-9]|[A-Z]+$)")),"")</f>
        <v/>
      </c>
      <c r="AX88" s="71" t="str">
        <f>IFERROR(VLOOKUP(AV88,'사용자가 입력할 시트'!$AF$2:$AG$60,2,FALSE),AV88)</f>
        <v/>
      </c>
      <c r="AY88" s="72" t="str">
        <f t="array" ref="AY88">IFERROR(TRIM(_xlfn.REGEXEXTRACT(AW88,"(\d+[%]?$|[A-Z]+$)")),"")</f>
        <v/>
      </c>
      <c r="AZ88" s="69"/>
      <c r="BA88" s="70" t="str">
        <f t="shared" si="92"/>
        <v/>
      </c>
      <c r="BB88" s="70" t="str">
        <f t="array" ref="BB88">IFERROR(TRIM(_xlfn.REGEXEXTRACT(AZ88,"(\d.+[%]?$|[0-9]|[A-Z]+$)")),"")</f>
        <v/>
      </c>
      <c r="BC88" s="71" t="str">
        <f>IFERROR(VLOOKUP(BA88,'사용자가 입력할 시트'!$AF$2:$AG$60,2,FALSE),BA88)</f>
        <v/>
      </c>
      <c r="BD88" s="72" t="str">
        <f t="array" ref="BD88">IFERROR(TRIM(_xlfn.REGEXEXTRACT(BB88,"(\d+[%]?$|[A-Z]+$)")),"")</f>
        <v/>
      </c>
      <c r="BE88" s="69"/>
      <c r="BF88" s="70" t="str">
        <f t="shared" si="93"/>
        <v/>
      </c>
      <c r="BG88" s="70" t="str">
        <f t="array" ref="BG88">IFERROR(TRIM(_xlfn.REGEXEXTRACT(BE88,"(\d.+[%]?$|[0-9]|[A-Z]+$)")),"")</f>
        <v/>
      </c>
      <c r="BH88" s="71" t="str">
        <f>IFERROR(VLOOKUP(BF88,'사용자가 입력할 시트'!$AF$2:$AG$60,2,FALSE),BF88)</f>
        <v/>
      </c>
      <c r="BI88" s="72" t="str">
        <f t="array" ref="BI88">IFERROR(TRIM(_xlfn.REGEXEXTRACT(BG88,"(\d+[%]?$|[A-Z]+$)")),"")</f>
        <v/>
      </c>
      <c r="BJ88" s="69"/>
      <c r="BK88" s="70" t="str">
        <f t="shared" si="94"/>
        <v/>
      </c>
      <c r="BL88" s="70" t="str">
        <f t="array" ref="BL88">IFERROR(TRIM(_xlfn.REGEXEXTRACT(BJ88,"(\d.+[%]?$|[0-9]|[A-Z]+$)")),"")</f>
        <v/>
      </c>
      <c r="BM88" s="71" t="str">
        <f>IFERROR(VLOOKUP(BK88,'사용자가 입력할 시트'!$AF$2:$AG$60,2,FALSE),BK88)</f>
        <v/>
      </c>
      <c r="BN88" s="72" t="str">
        <f t="array" ref="BN88">IFERROR(TRIM(_xlfn.REGEXEXTRACT(BL88,"(\d+[%]?$|[A-Z]+$)")),"")</f>
        <v/>
      </c>
      <c r="BO88" s="69"/>
      <c r="BP88" s="70" t="str">
        <f t="shared" si="95"/>
        <v/>
      </c>
      <c r="BQ88" s="70" t="str">
        <f t="array" ref="BQ88">IFERROR(TRIM(_xlfn.REGEXEXTRACT(BO88,"(\d.+[%]?$|[0-9]|[A-Z]+$)")),"")</f>
        <v/>
      </c>
      <c r="BR88" s="71" t="str">
        <f>IFERROR(VLOOKUP(BP88,'사용자가 입력할 시트'!$AF$2:$AG$60,2,FALSE),BP88)</f>
        <v/>
      </c>
      <c r="BS88" s="72" t="str">
        <f t="array" ref="BS88">IFERROR(TRIM(_xlfn.REGEXEXTRACT(BQ88,"(\d+[%]?$|[A-Z]+$)")),"")</f>
        <v/>
      </c>
      <c r="BT88" s="69"/>
      <c r="BU88" s="70" t="str">
        <f t="shared" si="96"/>
        <v/>
      </c>
      <c r="BV88" s="70" t="str">
        <f t="array" ref="BV88">IFERROR(TRIM(_xlfn.REGEXEXTRACT(BT88,"(\d.+[%]?$|[0-9]|[A-Z]+$)")),"")</f>
        <v/>
      </c>
      <c r="BW88" s="71" t="str">
        <f>IFERROR(VLOOKUP(BU88,'사용자가 입력할 시트'!$AF$2:$AG$60,2,FALSE),BU88)</f>
        <v/>
      </c>
      <c r="BX88" s="72" t="str">
        <f t="array" ref="BX88">IFERROR(TRIM(_xlfn.REGEXEXTRACT(BV88,"(\d+[%]?$|[A-Z]+$)")),"")</f>
        <v/>
      </c>
      <c r="BY88" s="69"/>
      <c r="BZ88" s="70" t="str">
        <f t="shared" si="97"/>
        <v/>
      </c>
      <c r="CA88" s="70" t="str">
        <f t="array" ref="CA88">IFERROR(TRIM(_xlfn.REGEXEXTRACT(BY88,"(\d.+[%]?$|[0-9]|[A-Z]+$)")),"")</f>
        <v/>
      </c>
      <c r="CB88" s="71" t="str">
        <f>IFERROR(VLOOKUP(BZ88,'사용자가 입력할 시트'!$AF$2:$AG$60,2,FALSE),BZ88)</f>
        <v/>
      </c>
      <c r="CC88" s="72" t="str">
        <f t="array" ref="CC88">IFERROR(TRIM(_xlfn.REGEXEXTRACT(CA88,"(\d+[%]?$|[A-Z]+$)")),"")</f>
        <v/>
      </c>
    </row>
    <row r="89" spans="23:81">
      <c r="W89" s="2" t="str">
        <f t="shared" ca="1" si="84"/>
        <v/>
      </c>
      <c r="X89" s="2" t="str">
        <f t="shared" ca="1" si="85"/>
        <v/>
      </c>
      <c r="Y89" s="2" t="str">
        <f t="shared" ca="1" si="86"/>
        <v/>
      </c>
      <c r="Z89" s="42" t="str">
        <f t="shared" ref="Z89" ca="1" si="116">IF(W89="","",$W$4&amp;" :"&amp;W89&amp;IF(W89=W90,"","("&amp;W90&amp;")"))</f>
        <v/>
      </c>
      <c r="AF89" s="69"/>
      <c r="AG89" s="70" t="str">
        <f t="shared" si="88"/>
        <v/>
      </c>
      <c r="AH89" s="70" t="str">
        <f t="array" ref="AH89">IFERROR(TRIM(_xlfn.REGEXEXTRACT(AF89,"(\d.+[%]?$|[0-9]|[A-Z]+$)")),"")</f>
        <v/>
      </c>
      <c r="AI89" s="71" t="str">
        <f>IFERROR(VLOOKUP(AG89,'사용자가 입력할 시트'!$AF$2:$AG$60,2,FALSE),AG89)</f>
        <v/>
      </c>
      <c r="AJ89" s="72" t="str">
        <f t="array" ref="AJ89">IFERROR(TRIM(_xlfn.REGEXEXTRACT(AH89,"(\d+[%]?$|[A-Z]+$)")),"")</f>
        <v/>
      </c>
      <c r="AK89" s="69"/>
      <c r="AL89" s="70" t="str">
        <f t="shared" si="89"/>
        <v/>
      </c>
      <c r="AM89" s="70" t="str">
        <f t="array" ref="AM89">IFERROR(TRIM(_xlfn.REGEXEXTRACT(AK89,"(\d.+[%]?$|[0-9]|[A-Z]+$)")),"")</f>
        <v/>
      </c>
      <c r="AN89" s="71" t="str">
        <f>IFERROR(VLOOKUP(AL89,'사용자가 입력할 시트'!$AF$2:$AG$60,2,FALSE),AL89)</f>
        <v/>
      </c>
      <c r="AO89" s="72" t="str">
        <f t="array" ref="AO89">IFERROR(TRIM(_xlfn.REGEXEXTRACT(AM89,"(\d+[%]?$|[A-Z]+$)")),"")</f>
        <v/>
      </c>
      <c r="AP89" s="69"/>
      <c r="AQ89" s="70" t="str">
        <f t="shared" si="90"/>
        <v/>
      </c>
      <c r="AR89" s="70" t="str">
        <f t="array" ref="AR89">IFERROR(TRIM(_xlfn.REGEXEXTRACT(AP89,"(\d.+[%]?$|[0-9]|[A-Z]+$)")),"")</f>
        <v/>
      </c>
      <c r="AS89" s="71" t="str">
        <f>IFERROR(VLOOKUP(AQ89,'사용자가 입력할 시트'!$AF$2:$AG$60,2,FALSE),AQ89)</f>
        <v/>
      </c>
      <c r="AT89" s="72" t="str">
        <f t="array" ref="AT89">IFERROR(TRIM(_xlfn.REGEXEXTRACT(AR89,"(\d+[%]?$|[A-Z]+$)")),"")</f>
        <v/>
      </c>
      <c r="AU89" s="69"/>
      <c r="AV89" s="70" t="str">
        <f t="shared" si="91"/>
        <v/>
      </c>
      <c r="AW89" s="70" t="str">
        <f t="array" ref="AW89">IFERROR(TRIM(_xlfn.REGEXEXTRACT(AU89,"(\d.+[%]?$|[0-9]|[A-Z]+$)")),"")</f>
        <v/>
      </c>
      <c r="AX89" s="71" t="str">
        <f>IFERROR(VLOOKUP(AV89,'사용자가 입력할 시트'!$AF$2:$AG$60,2,FALSE),AV89)</f>
        <v/>
      </c>
      <c r="AY89" s="72" t="str">
        <f t="array" ref="AY89">IFERROR(TRIM(_xlfn.REGEXEXTRACT(AW89,"(\d+[%]?$|[A-Z]+$)")),"")</f>
        <v/>
      </c>
      <c r="AZ89" s="69"/>
      <c r="BA89" s="70" t="str">
        <f t="shared" si="92"/>
        <v/>
      </c>
      <c r="BB89" s="70" t="str">
        <f t="array" ref="BB89">IFERROR(TRIM(_xlfn.REGEXEXTRACT(AZ89,"(\d.+[%]?$|[0-9]|[A-Z]+$)")),"")</f>
        <v/>
      </c>
      <c r="BC89" s="71" t="str">
        <f>IFERROR(VLOOKUP(BA89,'사용자가 입력할 시트'!$AF$2:$AG$60,2,FALSE),BA89)</f>
        <v/>
      </c>
      <c r="BD89" s="72" t="str">
        <f t="array" ref="BD89">IFERROR(TRIM(_xlfn.REGEXEXTRACT(BB89,"(\d+[%]?$|[A-Z]+$)")),"")</f>
        <v/>
      </c>
      <c r="BE89" s="69"/>
      <c r="BF89" s="70" t="str">
        <f t="shared" si="93"/>
        <v/>
      </c>
      <c r="BG89" s="70" t="str">
        <f t="array" ref="BG89">IFERROR(TRIM(_xlfn.REGEXEXTRACT(BE89,"(\d.+[%]?$|[0-9]|[A-Z]+$)")),"")</f>
        <v/>
      </c>
      <c r="BH89" s="71" t="str">
        <f>IFERROR(VLOOKUP(BF89,'사용자가 입력할 시트'!$AF$2:$AG$60,2,FALSE),BF89)</f>
        <v/>
      </c>
      <c r="BI89" s="72" t="str">
        <f t="array" ref="BI89">IFERROR(TRIM(_xlfn.REGEXEXTRACT(BG89,"(\d+[%]?$|[A-Z]+$)")),"")</f>
        <v/>
      </c>
      <c r="BJ89" s="69"/>
      <c r="BK89" s="70" t="str">
        <f t="shared" si="94"/>
        <v/>
      </c>
      <c r="BL89" s="70" t="str">
        <f t="array" ref="BL89">IFERROR(TRIM(_xlfn.REGEXEXTRACT(BJ89,"(\d.+[%]?$|[0-9]|[A-Z]+$)")),"")</f>
        <v/>
      </c>
      <c r="BM89" s="71" t="str">
        <f>IFERROR(VLOOKUP(BK89,'사용자가 입력할 시트'!$AF$2:$AG$60,2,FALSE),BK89)</f>
        <v/>
      </c>
      <c r="BN89" s="72" t="str">
        <f t="array" ref="BN89">IFERROR(TRIM(_xlfn.REGEXEXTRACT(BL89,"(\d+[%]?$|[A-Z]+$)")),"")</f>
        <v/>
      </c>
      <c r="BO89" s="69"/>
      <c r="BP89" s="70" t="str">
        <f t="shared" si="95"/>
        <v/>
      </c>
      <c r="BQ89" s="70" t="str">
        <f t="array" ref="BQ89">IFERROR(TRIM(_xlfn.REGEXEXTRACT(BO89,"(\d.+[%]?$|[0-9]|[A-Z]+$)")),"")</f>
        <v/>
      </c>
      <c r="BR89" s="71" t="str">
        <f>IFERROR(VLOOKUP(BP89,'사용자가 입력할 시트'!$AF$2:$AG$60,2,FALSE),BP89)</f>
        <v/>
      </c>
      <c r="BS89" s="72" t="str">
        <f t="array" ref="BS89">IFERROR(TRIM(_xlfn.REGEXEXTRACT(BQ89,"(\d+[%]?$|[A-Z]+$)")),"")</f>
        <v/>
      </c>
      <c r="BT89" s="69"/>
      <c r="BU89" s="70" t="str">
        <f t="shared" si="96"/>
        <v/>
      </c>
      <c r="BV89" s="70" t="str">
        <f t="array" ref="BV89">IFERROR(TRIM(_xlfn.REGEXEXTRACT(BT89,"(\d.+[%]?$|[0-9]|[A-Z]+$)")),"")</f>
        <v/>
      </c>
      <c r="BW89" s="71" t="str">
        <f>IFERROR(VLOOKUP(BU89,'사용자가 입력할 시트'!$AF$2:$AG$60,2,FALSE),BU89)</f>
        <v/>
      </c>
      <c r="BX89" s="72" t="str">
        <f t="array" ref="BX89">IFERROR(TRIM(_xlfn.REGEXEXTRACT(BV89,"(\d+[%]?$|[A-Z]+$)")),"")</f>
        <v/>
      </c>
      <c r="BY89" s="69"/>
      <c r="BZ89" s="70" t="str">
        <f t="shared" si="97"/>
        <v/>
      </c>
      <c r="CA89" s="70" t="str">
        <f t="array" ref="CA89">IFERROR(TRIM(_xlfn.REGEXEXTRACT(BY89,"(\d.+[%]?$|[0-9]|[A-Z]+$)")),"")</f>
        <v/>
      </c>
      <c r="CB89" s="71" t="str">
        <f>IFERROR(VLOOKUP(BZ89,'사용자가 입력할 시트'!$AF$2:$AG$60,2,FALSE),BZ89)</f>
        <v/>
      </c>
      <c r="CC89" s="72" t="str">
        <f t="array" ref="CC89">IFERROR(TRIM(_xlfn.REGEXEXTRACT(CA89,"(\d+[%]?$|[A-Z]+$)")),"")</f>
        <v/>
      </c>
    </row>
    <row r="90" spans="23:81">
      <c r="W90" s="2" t="str">
        <f t="shared" ca="1" si="84"/>
        <v/>
      </c>
      <c r="X90" s="2" t="str">
        <f t="shared" ca="1" si="85"/>
        <v/>
      </c>
      <c r="Y90" s="2" t="str">
        <f t="shared" ca="1" si="86"/>
        <v/>
      </c>
      <c r="Z90" s="42" t="str">
        <f t="shared" ref="Z90" ca="1" si="117">IF(X89="","",$X$4&amp;" :"&amp;X89&amp;IF(X89=X90,"","("&amp;X90&amp;")"))</f>
        <v/>
      </c>
      <c r="AC90" s="1"/>
      <c r="AD90" s="1"/>
      <c r="AF90" s="55"/>
      <c r="AG90" s="70" t="str">
        <f t="shared" si="88"/>
        <v/>
      </c>
      <c r="AH90" s="70" t="str">
        <f t="array" ref="AH90">IFERROR(TRIM(_xlfn.REGEXEXTRACT(AF90,"(\d.+[%]?$|[0-9]|[A-Z]+$)")),"")</f>
        <v/>
      </c>
      <c r="AI90" s="71" t="str">
        <f>IFERROR(VLOOKUP(AG90,'사용자가 입력할 시트'!$AF$2:$AG$60,2,FALSE),AG90)</f>
        <v/>
      </c>
      <c r="AJ90" s="72" t="str">
        <f t="array" ref="AJ90">IFERROR(TRIM(_xlfn.REGEXEXTRACT(AH90,"(\d+[%]?$|[A-Z]+$)")),"")</f>
        <v/>
      </c>
      <c r="AK90" s="55"/>
      <c r="AL90" s="70" t="str">
        <f t="shared" si="89"/>
        <v/>
      </c>
      <c r="AM90" s="70" t="str">
        <f t="array" ref="AM90">IFERROR(TRIM(_xlfn.REGEXEXTRACT(AK90,"(\d.+[%]?$|[0-9]|[A-Z]+$)")),"")</f>
        <v/>
      </c>
      <c r="AN90" s="71" t="str">
        <f>IFERROR(VLOOKUP(AL90,'사용자가 입력할 시트'!$AF$2:$AG$60,2,FALSE),AL90)</f>
        <v/>
      </c>
      <c r="AO90" s="72" t="str">
        <f t="array" ref="AO90">IFERROR(TRIM(_xlfn.REGEXEXTRACT(AM90,"(\d+[%]?$|[A-Z]+$)")),"")</f>
        <v/>
      </c>
      <c r="AP90" s="55"/>
      <c r="AQ90" s="70" t="str">
        <f t="shared" si="90"/>
        <v/>
      </c>
      <c r="AR90" s="70" t="str">
        <f t="array" ref="AR90">IFERROR(TRIM(_xlfn.REGEXEXTRACT(AP90,"(\d.+[%]?$|[0-9]|[A-Z]+$)")),"")</f>
        <v/>
      </c>
      <c r="AS90" s="71" t="str">
        <f>IFERROR(VLOOKUP(AQ90,'사용자가 입력할 시트'!$AF$2:$AG$60,2,FALSE),AQ90)</f>
        <v/>
      </c>
      <c r="AT90" s="72" t="str">
        <f t="array" ref="AT90">IFERROR(TRIM(_xlfn.REGEXEXTRACT(AR90,"(\d+[%]?$|[A-Z]+$)")),"")</f>
        <v/>
      </c>
      <c r="AU90" s="55"/>
      <c r="AV90" s="70" t="str">
        <f t="shared" si="91"/>
        <v/>
      </c>
      <c r="AW90" s="70" t="str">
        <f t="array" ref="AW90">IFERROR(TRIM(_xlfn.REGEXEXTRACT(AU90,"(\d.+[%]?$|[0-9]|[A-Z]+$)")),"")</f>
        <v/>
      </c>
      <c r="AX90" s="71" t="str">
        <f>IFERROR(VLOOKUP(AV90,'사용자가 입력할 시트'!$AF$2:$AG$60,2,FALSE),AV90)</f>
        <v/>
      </c>
      <c r="AY90" s="72" t="str">
        <f t="array" ref="AY90">IFERROR(TRIM(_xlfn.REGEXEXTRACT(AW90,"(\d+[%]?$|[A-Z]+$)")),"")</f>
        <v/>
      </c>
      <c r="AZ90" s="55"/>
      <c r="BA90" s="70" t="str">
        <f t="shared" si="92"/>
        <v/>
      </c>
      <c r="BB90" s="70" t="str">
        <f t="array" ref="BB90">IFERROR(TRIM(_xlfn.REGEXEXTRACT(AZ90,"(\d.+[%]?$|[0-9]|[A-Z]+$)")),"")</f>
        <v/>
      </c>
      <c r="BC90" s="71" t="str">
        <f>IFERROR(VLOOKUP(BA90,'사용자가 입력할 시트'!$AF$2:$AG$60,2,FALSE),BA90)</f>
        <v/>
      </c>
      <c r="BD90" s="72" t="str">
        <f t="array" ref="BD90">IFERROR(TRIM(_xlfn.REGEXEXTRACT(BB90,"(\d+[%]?$|[A-Z]+$)")),"")</f>
        <v/>
      </c>
      <c r="BE90" s="55"/>
      <c r="BF90" s="70" t="str">
        <f t="shared" si="93"/>
        <v/>
      </c>
      <c r="BG90" s="70" t="str">
        <f t="array" ref="BG90">IFERROR(TRIM(_xlfn.REGEXEXTRACT(BE90,"(\d.+[%]?$|[0-9]|[A-Z]+$)")),"")</f>
        <v/>
      </c>
      <c r="BH90" s="71" t="str">
        <f>IFERROR(VLOOKUP(BF90,'사용자가 입력할 시트'!$AF$2:$AG$60,2,FALSE),BF90)</f>
        <v/>
      </c>
      <c r="BI90" s="72" t="str">
        <f t="array" ref="BI90">IFERROR(TRIM(_xlfn.REGEXEXTRACT(BG90,"(\d+[%]?$|[A-Z]+$)")),"")</f>
        <v/>
      </c>
      <c r="BJ90" s="55"/>
      <c r="BK90" s="70" t="str">
        <f t="shared" si="94"/>
        <v/>
      </c>
      <c r="BL90" s="70" t="str">
        <f t="array" ref="BL90">IFERROR(TRIM(_xlfn.REGEXEXTRACT(BJ90,"(\d.+[%]?$|[0-9]|[A-Z]+$)")),"")</f>
        <v/>
      </c>
      <c r="BM90" s="71" t="str">
        <f>IFERROR(VLOOKUP(BK90,'사용자가 입력할 시트'!$AF$2:$AG$60,2,FALSE),BK90)</f>
        <v/>
      </c>
      <c r="BN90" s="72" t="str">
        <f t="array" ref="BN90">IFERROR(TRIM(_xlfn.REGEXEXTRACT(BL90,"(\d+[%]?$|[A-Z]+$)")),"")</f>
        <v/>
      </c>
      <c r="BO90" s="55"/>
      <c r="BP90" s="70" t="str">
        <f t="shared" si="95"/>
        <v/>
      </c>
      <c r="BQ90" s="70" t="str">
        <f t="array" ref="BQ90">IFERROR(TRIM(_xlfn.REGEXEXTRACT(BO90,"(\d.+[%]?$|[0-9]|[A-Z]+$)")),"")</f>
        <v/>
      </c>
      <c r="BR90" s="71" t="str">
        <f>IFERROR(VLOOKUP(BP90,'사용자가 입력할 시트'!$AF$2:$AG$60,2,FALSE),BP90)</f>
        <v/>
      </c>
      <c r="BS90" s="72" t="str">
        <f t="array" ref="BS90">IFERROR(TRIM(_xlfn.REGEXEXTRACT(BQ90,"(\d+[%]?$|[A-Z]+$)")),"")</f>
        <v/>
      </c>
      <c r="BT90" s="55"/>
      <c r="BU90" s="70" t="str">
        <f t="shared" si="96"/>
        <v/>
      </c>
      <c r="BV90" s="70" t="str">
        <f t="array" ref="BV90">IFERROR(TRIM(_xlfn.REGEXEXTRACT(BT90,"(\d.+[%]?$|[0-9]|[A-Z]+$)")),"")</f>
        <v/>
      </c>
      <c r="BW90" s="71" t="str">
        <f>IFERROR(VLOOKUP(BU90,'사용자가 입력할 시트'!$AF$2:$AG$60,2,FALSE),BU90)</f>
        <v/>
      </c>
      <c r="BX90" s="72" t="str">
        <f t="array" ref="BX90">IFERROR(TRIM(_xlfn.REGEXEXTRACT(BV90,"(\d+[%]?$|[A-Z]+$)")),"")</f>
        <v/>
      </c>
      <c r="BY90" s="55"/>
      <c r="BZ90" s="70" t="str">
        <f t="shared" si="97"/>
        <v/>
      </c>
      <c r="CA90" s="70" t="str">
        <f t="array" ref="CA90">IFERROR(TRIM(_xlfn.REGEXEXTRACT(BY90,"(\d.+[%]?$|[0-9]|[A-Z]+$)")),"")</f>
        <v/>
      </c>
      <c r="CB90" s="71" t="str">
        <f>IFERROR(VLOOKUP(BZ90,'사용자가 입력할 시트'!$AF$2:$AG$60,2,FALSE),BZ90)</f>
        <v/>
      </c>
      <c r="CC90" s="72" t="str">
        <f t="array" ref="CC90">IFERROR(TRIM(_xlfn.REGEXEXTRACT(CA90,"(\d+[%]?$|[A-Z]+$)")),"")</f>
        <v/>
      </c>
    </row>
    <row r="91" spans="23:81">
      <c r="W91" s="2" t="str">
        <f t="shared" ca="1" si="84"/>
        <v/>
      </c>
      <c r="X91" s="2" t="str">
        <f t="shared" ca="1" si="85"/>
        <v/>
      </c>
      <c r="Y91" s="2" t="str">
        <f t="shared" ca="1" si="86"/>
        <v/>
      </c>
      <c r="Z91" s="42" t="str">
        <f t="shared" ref="Z91" ca="1" si="118">IF(Y89="","",$Y$4&amp;" :"&amp;Y89&amp;IF(Y89=Y90,"","("&amp;Y90&amp;")"))</f>
        <v/>
      </c>
      <c r="AC91" s="1"/>
      <c r="AD91" s="1"/>
      <c r="AF91" s="55"/>
      <c r="AG91" s="70" t="str">
        <f t="shared" si="88"/>
        <v/>
      </c>
      <c r="AH91" s="70" t="str">
        <f t="array" ref="AH91">IFERROR(TRIM(_xlfn.REGEXEXTRACT(AF91,"(\d.+[%]?$|[0-9]|[A-Z]+$)")),"")</f>
        <v/>
      </c>
      <c r="AI91" s="71" t="str">
        <f>IFERROR(VLOOKUP(AG91,'사용자가 입력할 시트'!$AF$2:$AG$60,2,FALSE),AG91)</f>
        <v/>
      </c>
      <c r="AJ91" s="72" t="str">
        <f t="array" ref="AJ91">IFERROR(TRIM(_xlfn.REGEXEXTRACT(AH91,"(\d+[%]?$|[A-Z]+$)")),"")</f>
        <v/>
      </c>
      <c r="AK91" s="55"/>
      <c r="AL91" s="70" t="str">
        <f t="shared" si="89"/>
        <v/>
      </c>
      <c r="AM91" s="70" t="str">
        <f t="array" ref="AM91">IFERROR(TRIM(_xlfn.REGEXEXTRACT(AK91,"(\d.+[%]?$|[0-9]|[A-Z]+$)")),"")</f>
        <v/>
      </c>
      <c r="AN91" s="71" t="str">
        <f>IFERROR(VLOOKUP(AL91,'사용자가 입력할 시트'!$AF$2:$AG$60,2,FALSE),AL91)</f>
        <v/>
      </c>
      <c r="AO91" s="72" t="str">
        <f t="array" ref="AO91">IFERROR(TRIM(_xlfn.REGEXEXTRACT(AM91,"(\d+[%]?$|[A-Z]+$)")),"")</f>
        <v/>
      </c>
      <c r="AP91" s="55"/>
      <c r="AQ91" s="70" t="str">
        <f t="shared" si="90"/>
        <v/>
      </c>
      <c r="AR91" s="70" t="str">
        <f t="array" ref="AR91">IFERROR(TRIM(_xlfn.REGEXEXTRACT(AP91,"(\d.+[%]?$|[0-9]|[A-Z]+$)")),"")</f>
        <v/>
      </c>
      <c r="AS91" s="71" t="str">
        <f>IFERROR(VLOOKUP(AQ91,'사용자가 입력할 시트'!$AF$2:$AG$60,2,FALSE),AQ91)</f>
        <v/>
      </c>
      <c r="AT91" s="72" t="str">
        <f t="array" ref="AT91">IFERROR(TRIM(_xlfn.REGEXEXTRACT(AR91,"(\d+[%]?$|[A-Z]+$)")),"")</f>
        <v/>
      </c>
      <c r="AU91" s="55"/>
      <c r="AV91" s="70" t="str">
        <f t="shared" si="91"/>
        <v/>
      </c>
      <c r="AW91" s="70" t="str">
        <f t="array" ref="AW91">IFERROR(TRIM(_xlfn.REGEXEXTRACT(AU91,"(\d.+[%]?$|[0-9]|[A-Z]+$)")),"")</f>
        <v/>
      </c>
      <c r="AX91" s="71" t="str">
        <f>IFERROR(VLOOKUP(AV91,'사용자가 입력할 시트'!$AF$2:$AG$60,2,FALSE),AV91)</f>
        <v/>
      </c>
      <c r="AY91" s="72" t="str">
        <f t="array" ref="AY91">IFERROR(TRIM(_xlfn.REGEXEXTRACT(AW91,"(\d+[%]?$|[A-Z]+$)")),"")</f>
        <v/>
      </c>
      <c r="AZ91" s="55"/>
      <c r="BA91" s="70" t="str">
        <f t="shared" si="92"/>
        <v/>
      </c>
      <c r="BB91" s="70" t="str">
        <f t="array" ref="BB91">IFERROR(TRIM(_xlfn.REGEXEXTRACT(AZ91,"(\d.+[%]?$|[0-9]|[A-Z]+$)")),"")</f>
        <v/>
      </c>
      <c r="BC91" s="71" t="str">
        <f>IFERROR(VLOOKUP(BA91,'사용자가 입력할 시트'!$AF$2:$AG$60,2,FALSE),BA91)</f>
        <v/>
      </c>
      <c r="BD91" s="72" t="str">
        <f t="array" ref="BD91">IFERROR(TRIM(_xlfn.REGEXEXTRACT(BB91,"(\d+[%]?$|[A-Z]+$)")),"")</f>
        <v/>
      </c>
      <c r="BE91" s="55"/>
      <c r="BF91" s="70" t="str">
        <f t="shared" si="93"/>
        <v/>
      </c>
      <c r="BG91" s="70" t="str">
        <f t="array" ref="BG91">IFERROR(TRIM(_xlfn.REGEXEXTRACT(BE91,"(\d.+[%]?$|[0-9]|[A-Z]+$)")),"")</f>
        <v/>
      </c>
      <c r="BH91" s="71" t="str">
        <f>IFERROR(VLOOKUP(BF91,'사용자가 입력할 시트'!$AF$2:$AG$60,2,FALSE),BF91)</f>
        <v/>
      </c>
      <c r="BI91" s="72" t="str">
        <f t="array" ref="BI91">IFERROR(TRIM(_xlfn.REGEXEXTRACT(BG91,"(\d+[%]?$|[A-Z]+$)")),"")</f>
        <v/>
      </c>
      <c r="BJ91" s="55"/>
      <c r="BK91" s="70" t="str">
        <f t="shared" si="94"/>
        <v/>
      </c>
      <c r="BL91" s="70" t="str">
        <f t="array" ref="BL91">IFERROR(TRIM(_xlfn.REGEXEXTRACT(BJ91,"(\d.+[%]?$|[0-9]|[A-Z]+$)")),"")</f>
        <v/>
      </c>
      <c r="BM91" s="71" t="str">
        <f>IFERROR(VLOOKUP(BK91,'사용자가 입력할 시트'!$AF$2:$AG$60,2,FALSE),BK91)</f>
        <v/>
      </c>
      <c r="BN91" s="72" t="str">
        <f t="array" ref="BN91">IFERROR(TRIM(_xlfn.REGEXEXTRACT(BL91,"(\d+[%]?$|[A-Z]+$)")),"")</f>
        <v/>
      </c>
      <c r="BO91" s="55"/>
      <c r="BP91" s="70" t="str">
        <f t="shared" si="95"/>
        <v/>
      </c>
      <c r="BQ91" s="70" t="str">
        <f t="array" ref="BQ91">IFERROR(TRIM(_xlfn.REGEXEXTRACT(BO91,"(\d.+[%]?$|[0-9]|[A-Z]+$)")),"")</f>
        <v/>
      </c>
      <c r="BR91" s="71" t="str">
        <f>IFERROR(VLOOKUP(BP91,'사용자가 입력할 시트'!$AF$2:$AG$60,2,FALSE),BP91)</f>
        <v/>
      </c>
      <c r="BS91" s="72" t="str">
        <f t="array" ref="BS91">IFERROR(TRIM(_xlfn.REGEXEXTRACT(BQ91,"(\d+[%]?$|[A-Z]+$)")),"")</f>
        <v/>
      </c>
      <c r="BT91" s="55"/>
      <c r="BU91" s="70" t="str">
        <f t="shared" si="96"/>
        <v/>
      </c>
      <c r="BV91" s="70" t="str">
        <f t="array" ref="BV91">IFERROR(TRIM(_xlfn.REGEXEXTRACT(BT91,"(\d.+[%]?$|[0-9]|[A-Z]+$)")),"")</f>
        <v/>
      </c>
      <c r="BW91" s="71" t="str">
        <f>IFERROR(VLOOKUP(BU91,'사용자가 입력할 시트'!$AF$2:$AG$60,2,FALSE),BU91)</f>
        <v/>
      </c>
      <c r="BX91" s="72" t="str">
        <f t="array" ref="BX91">IFERROR(TRIM(_xlfn.REGEXEXTRACT(BV91,"(\d+[%]?$|[A-Z]+$)")),"")</f>
        <v/>
      </c>
      <c r="BY91" s="55"/>
      <c r="BZ91" s="70" t="str">
        <f t="shared" si="97"/>
        <v/>
      </c>
      <c r="CA91" s="70" t="str">
        <f t="array" ref="CA91">IFERROR(TRIM(_xlfn.REGEXEXTRACT(BY91,"(\d.+[%]?$|[0-9]|[A-Z]+$)")),"")</f>
        <v/>
      </c>
      <c r="CB91" s="71" t="str">
        <f>IFERROR(VLOOKUP(BZ91,'사용자가 입력할 시트'!$AF$2:$AG$60,2,FALSE),BZ91)</f>
        <v/>
      </c>
      <c r="CC91" s="72" t="str">
        <f t="array" ref="CC91">IFERROR(TRIM(_xlfn.REGEXEXTRACT(CA91,"(\d+[%]?$|[A-Z]+$)")),"")</f>
        <v/>
      </c>
    </row>
    <row r="92" spans="23:81">
      <c r="W92" s="2" t="str">
        <f t="shared" ca="1" si="84"/>
        <v/>
      </c>
      <c r="X92" s="2" t="str">
        <f t="shared" ca="1" si="85"/>
        <v/>
      </c>
      <c r="Y92" s="2" t="str">
        <f t="shared" ca="1" si="86"/>
        <v/>
      </c>
      <c r="Z92" s="42" t="str">
        <f t="shared" ref="Z92" ca="1" si="119">IF(W92="","",$W$4&amp;" :"&amp;W92&amp;IF(W92=W93,"","("&amp;W93&amp;")"))</f>
        <v/>
      </c>
      <c r="AC92" s="1"/>
      <c r="AD92" s="1"/>
      <c r="AF92" s="55"/>
      <c r="AG92" s="70" t="str">
        <f t="shared" si="88"/>
        <v/>
      </c>
      <c r="AH92" s="70" t="str">
        <f t="array" ref="AH92">IFERROR(TRIM(_xlfn.REGEXEXTRACT(AF92,"(\d.+[%]?$|[0-9]|[A-Z]+$)")),"")</f>
        <v/>
      </c>
      <c r="AI92" s="71" t="str">
        <f>IFERROR(VLOOKUP(AG92,'사용자가 입력할 시트'!$AF$2:$AG$60,2,FALSE),AG92)</f>
        <v/>
      </c>
      <c r="AJ92" s="72" t="str">
        <f t="array" ref="AJ92">IFERROR(TRIM(_xlfn.REGEXEXTRACT(AH92,"(\d+[%]?$|[A-Z]+$)")),"")</f>
        <v/>
      </c>
      <c r="AK92" s="55"/>
      <c r="AL92" s="70" t="str">
        <f t="shared" si="89"/>
        <v/>
      </c>
      <c r="AM92" s="70" t="str">
        <f t="array" ref="AM92">IFERROR(TRIM(_xlfn.REGEXEXTRACT(AK92,"(\d.+[%]?$|[0-9]|[A-Z]+$)")),"")</f>
        <v/>
      </c>
      <c r="AN92" s="71" t="str">
        <f>IFERROR(VLOOKUP(AL92,'사용자가 입력할 시트'!$AF$2:$AG$60,2,FALSE),AL92)</f>
        <v/>
      </c>
      <c r="AO92" s="72" t="str">
        <f t="array" ref="AO92">IFERROR(TRIM(_xlfn.REGEXEXTRACT(AM92,"(\d+[%]?$|[A-Z]+$)")),"")</f>
        <v/>
      </c>
      <c r="AP92" s="55"/>
      <c r="AQ92" s="70" t="str">
        <f t="shared" si="90"/>
        <v/>
      </c>
      <c r="AR92" s="70" t="str">
        <f t="array" ref="AR92">IFERROR(TRIM(_xlfn.REGEXEXTRACT(AP92,"(\d.+[%]?$|[0-9]|[A-Z]+$)")),"")</f>
        <v/>
      </c>
      <c r="AS92" s="71" t="str">
        <f>IFERROR(VLOOKUP(AQ92,'사용자가 입력할 시트'!$AF$2:$AG$60,2,FALSE),AQ92)</f>
        <v/>
      </c>
      <c r="AT92" s="72" t="str">
        <f t="array" ref="AT92">IFERROR(TRIM(_xlfn.REGEXEXTRACT(AR92,"(\d+[%]?$|[A-Z]+$)")),"")</f>
        <v/>
      </c>
      <c r="AU92" s="55"/>
      <c r="AV92" s="70" t="str">
        <f t="shared" si="91"/>
        <v/>
      </c>
      <c r="AW92" s="70" t="str">
        <f t="array" ref="AW92">IFERROR(TRIM(_xlfn.REGEXEXTRACT(AU92,"(\d.+[%]?$|[0-9]|[A-Z]+$)")),"")</f>
        <v/>
      </c>
      <c r="AX92" s="71" t="str">
        <f>IFERROR(VLOOKUP(AV92,'사용자가 입력할 시트'!$AF$2:$AG$60,2,FALSE),AV92)</f>
        <v/>
      </c>
      <c r="AY92" s="72" t="str">
        <f t="array" ref="AY92">IFERROR(TRIM(_xlfn.REGEXEXTRACT(AW92,"(\d+[%]?$|[A-Z]+$)")),"")</f>
        <v/>
      </c>
      <c r="AZ92" s="55"/>
      <c r="BA92" s="70" t="str">
        <f t="shared" si="92"/>
        <v/>
      </c>
      <c r="BB92" s="70" t="str">
        <f t="array" ref="BB92">IFERROR(TRIM(_xlfn.REGEXEXTRACT(AZ92,"(\d.+[%]?$|[0-9]|[A-Z]+$)")),"")</f>
        <v/>
      </c>
      <c r="BC92" s="71" t="str">
        <f>IFERROR(VLOOKUP(BA92,'사용자가 입력할 시트'!$AF$2:$AG$60,2,FALSE),BA92)</f>
        <v/>
      </c>
      <c r="BD92" s="72" t="str">
        <f t="array" ref="BD92">IFERROR(TRIM(_xlfn.REGEXEXTRACT(BB92,"(\d+[%]?$|[A-Z]+$)")),"")</f>
        <v/>
      </c>
      <c r="BE92" s="55"/>
      <c r="BF92" s="70" t="str">
        <f t="shared" si="93"/>
        <v/>
      </c>
      <c r="BG92" s="70" t="str">
        <f t="array" ref="BG92">IFERROR(TRIM(_xlfn.REGEXEXTRACT(BE92,"(\d.+[%]?$|[0-9]|[A-Z]+$)")),"")</f>
        <v/>
      </c>
      <c r="BH92" s="71" t="str">
        <f>IFERROR(VLOOKUP(BF92,'사용자가 입력할 시트'!$AF$2:$AG$60,2,FALSE),BF92)</f>
        <v/>
      </c>
      <c r="BI92" s="72" t="str">
        <f t="array" ref="BI92">IFERROR(TRIM(_xlfn.REGEXEXTRACT(BG92,"(\d+[%]?$|[A-Z]+$)")),"")</f>
        <v/>
      </c>
      <c r="BJ92" s="55"/>
      <c r="BK92" s="70" t="str">
        <f t="shared" si="94"/>
        <v/>
      </c>
      <c r="BL92" s="70" t="str">
        <f t="array" ref="BL92">IFERROR(TRIM(_xlfn.REGEXEXTRACT(BJ92,"(\d.+[%]?$|[0-9]|[A-Z]+$)")),"")</f>
        <v/>
      </c>
      <c r="BM92" s="71" t="str">
        <f>IFERROR(VLOOKUP(BK92,'사용자가 입력할 시트'!$AF$2:$AG$60,2,FALSE),BK92)</f>
        <v/>
      </c>
      <c r="BN92" s="72" t="str">
        <f t="array" ref="BN92">IFERROR(TRIM(_xlfn.REGEXEXTRACT(BL92,"(\d+[%]?$|[A-Z]+$)")),"")</f>
        <v/>
      </c>
      <c r="BO92" s="55"/>
      <c r="BP92" s="70" t="str">
        <f t="shared" si="95"/>
        <v/>
      </c>
      <c r="BQ92" s="70" t="str">
        <f t="array" ref="BQ92">IFERROR(TRIM(_xlfn.REGEXEXTRACT(BO92,"(\d.+[%]?$|[0-9]|[A-Z]+$)")),"")</f>
        <v/>
      </c>
      <c r="BR92" s="71" t="str">
        <f>IFERROR(VLOOKUP(BP92,'사용자가 입력할 시트'!$AF$2:$AG$60,2,FALSE),BP92)</f>
        <v/>
      </c>
      <c r="BS92" s="72" t="str">
        <f t="array" ref="BS92">IFERROR(TRIM(_xlfn.REGEXEXTRACT(BQ92,"(\d+[%]?$|[A-Z]+$)")),"")</f>
        <v/>
      </c>
      <c r="BT92" s="55"/>
      <c r="BU92" s="70" t="str">
        <f t="shared" si="96"/>
        <v/>
      </c>
      <c r="BV92" s="70" t="str">
        <f t="array" ref="BV92">IFERROR(TRIM(_xlfn.REGEXEXTRACT(BT92,"(\d.+[%]?$|[0-9]|[A-Z]+$)")),"")</f>
        <v/>
      </c>
      <c r="BW92" s="71" t="str">
        <f>IFERROR(VLOOKUP(BU92,'사용자가 입력할 시트'!$AF$2:$AG$60,2,FALSE),BU92)</f>
        <v/>
      </c>
      <c r="BX92" s="72" t="str">
        <f t="array" ref="BX92">IFERROR(TRIM(_xlfn.REGEXEXTRACT(BV92,"(\d+[%]?$|[A-Z]+$)")),"")</f>
        <v/>
      </c>
      <c r="BY92" s="55"/>
      <c r="BZ92" s="70" t="str">
        <f t="shared" si="97"/>
        <v/>
      </c>
      <c r="CA92" s="70" t="str">
        <f t="array" ref="CA92">IFERROR(TRIM(_xlfn.REGEXEXTRACT(BY92,"(\d.+[%]?$|[0-9]|[A-Z]+$)")),"")</f>
        <v/>
      </c>
      <c r="CB92" s="71" t="str">
        <f>IFERROR(VLOOKUP(BZ92,'사용자가 입력할 시트'!$AF$2:$AG$60,2,FALSE),BZ92)</f>
        <v/>
      </c>
      <c r="CC92" s="72" t="str">
        <f t="array" ref="CC92">IFERROR(TRIM(_xlfn.REGEXEXTRACT(CA92,"(\d+[%]?$|[A-Z]+$)")),"")</f>
        <v/>
      </c>
    </row>
    <row r="93" spans="23:81">
      <c r="W93" s="2" t="str">
        <f t="shared" ca="1" si="84"/>
        <v/>
      </c>
      <c r="X93" s="2" t="str">
        <f t="shared" ca="1" si="85"/>
        <v/>
      </c>
      <c r="Y93" s="2" t="str">
        <f t="shared" ca="1" si="86"/>
        <v/>
      </c>
      <c r="Z93" s="42" t="str">
        <f t="shared" ref="Z93" ca="1" si="120">IF(X92="","",$X$4&amp;" :"&amp;X92&amp;IF(X92=X93,"","("&amp;X93&amp;")"))</f>
        <v/>
      </c>
      <c r="AC93" s="1"/>
      <c r="AD93" s="1"/>
      <c r="AF93" s="55"/>
      <c r="AG93" s="70" t="str">
        <f t="shared" si="88"/>
        <v/>
      </c>
      <c r="AH93" s="70" t="str">
        <f t="array" ref="AH93">IFERROR(TRIM(_xlfn.REGEXEXTRACT(AF93,"(\d.+[%]?$|[0-9]|[A-Z]+$)")),"")</f>
        <v/>
      </c>
      <c r="AI93" s="71" t="str">
        <f>IFERROR(VLOOKUP(AG93,'사용자가 입력할 시트'!$AF$2:$AG$60,2,FALSE),AG93)</f>
        <v/>
      </c>
      <c r="AJ93" s="72" t="str">
        <f t="array" ref="AJ93">IFERROR(TRIM(_xlfn.REGEXEXTRACT(AH93,"(\d+[%]?$|[A-Z]+$)")),"")</f>
        <v/>
      </c>
      <c r="AK93" s="55"/>
      <c r="AL93" s="70" t="str">
        <f t="shared" si="89"/>
        <v/>
      </c>
      <c r="AM93" s="70" t="str">
        <f t="array" ref="AM93">IFERROR(TRIM(_xlfn.REGEXEXTRACT(AK93,"(\d.+[%]?$|[0-9]|[A-Z]+$)")),"")</f>
        <v/>
      </c>
      <c r="AN93" s="71" t="str">
        <f>IFERROR(VLOOKUP(AL93,'사용자가 입력할 시트'!$AF$2:$AG$60,2,FALSE),AL93)</f>
        <v/>
      </c>
      <c r="AO93" s="72" t="str">
        <f t="array" ref="AO93">IFERROR(TRIM(_xlfn.REGEXEXTRACT(AM93,"(\d+[%]?$|[A-Z]+$)")),"")</f>
        <v/>
      </c>
      <c r="AP93" s="55"/>
      <c r="AQ93" s="70" t="str">
        <f t="shared" si="90"/>
        <v/>
      </c>
      <c r="AR93" s="70" t="str">
        <f t="array" ref="AR93">IFERROR(TRIM(_xlfn.REGEXEXTRACT(AP93,"(\d.+[%]?$|[0-9]|[A-Z]+$)")),"")</f>
        <v/>
      </c>
      <c r="AS93" s="71" t="str">
        <f>IFERROR(VLOOKUP(AQ93,'사용자가 입력할 시트'!$AF$2:$AG$60,2,FALSE),AQ93)</f>
        <v/>
      </c>
      <c r="AT93" s="72" t="str">
        <f t="array" ref="AT93">IFERROR(TRIM(_xlfn.REGEXEXTRACT(AR93,"(\d+[%]?$|[A-Z]+$)")),"")</f>
        <v/>
      </c>
      <c r="AU93" s="55"/>
      <c r="AV93" s="70" t="str">
        <f t="shared" si="91"/>
        <v/>
      </c>
      <c r="AW93" s="70" t="str">
        <f t="array" ref="AW93">IFERROR(TRIM(_xlfn.REGEXEXTRACT(AU93,"(\d.+[%]?$|[0-9]|[A-Z]+$)")),"")</f>
        <v/>
      </c>
      <c r="AX93" s="71" t="str">
        <f>IFERROR(VLOOKUP(AV93,'사용자가 입력할 시트'!$AF$2:$AG$60,2,FALSE),AV93)</f>
        <v/>
      </c>
      <c r="AY93" s="72" t="str">
        <f t="array" ref="AY93">IFERROR(TRIM(_xlfn.REGEXEXTRACT(AW93,"(\d+[%]?$|[A-Z]+$)")),"")</f>
        <v/>
      </c>
      <c r="AZ93" s="55"/>
      <c r="BA93" s="70" t="str">
        <f t="shared" si="92"/>
        <v/>
      </c>
      <c r="BB93" s="70" t="str">
        <f t="array" ref="BB93">IFERROR(TRIM(_xlfn.REGEXEXTRACT(AZ93,"(\d.+[%]?$|[0-9]|[A-Z]+$)")),"")</f>
        <v/>
      </c>
      <c r="BC93" s="71" t="str">
        <f>IFERROR(VLOOKUP(BA93,'사용자가 입력할 시트'!$AF$2:$AG$60,2,FALSE),BA93)</f>
        <v/>
      </c>
      <c r="BD93" s="72" t="str">
        <f t="array" ref="BD93">IFERROR(TRIM(_xlfn.REGEXEXTRACT(BB93,"(\d+[%]?$|[A-Z]+$)")),"")</f>
        <v/>
      </c>
      <c r="BE93" s="55"/>
      <c r="BF93" s="70" t="str">
        <f t="shared" si="93"/>
        <v/>
      </c>
      <c r="BG93" s="70" t="str">
        <f t="array" ref="BG93">IFERROR(TRIM(_xlfn.REGEXEXTRACT(BE93,"(\d.+[%]?$|[0-9]|[A-Z]+$)")),"")</f>
        <v/>
      </c>
      <c r="BH93" s="71" t="str">
        <f>IFERROR(VLOOKUP(BF93,'사용자가 입력할 시트'!$AF$2:$AG$60,2,FALSE),BF93)</f>
        <v/>
      </c>
      <c r="BI93" s="72" t="str">
        <f t="array" ref="BI93">IFERROR(TRIM(_xlfn.REGEXEXTRACT(BG93,"(\d+[%]?$|[A-Z]+$)")),"")</f>
        <v/>
      </c>
      <c r="BJ93" s="55"/>
      <c r="BK93" s="70" t="str">
        <f t="shared" si="94"/>
        <v/>
      </c>
      <c r="BL93" s="70" t="str">
        <f t="array" ref="BL93">IFERROR(TRIM(_xlfn.REGEXEXTRACT(BJ93,"(\d.+[%]?$|[0-9]|[A-Z]+$)")),"")</f>
        <v/>
      </c>
      <c r="BM93" s="71" t="str">
        <f>IFERROR(VLOOKUP(BK93,'사용자가 입력할 시트'!$AF$2:$AG$60,2,FALSE),BK93)</f>
        <v/>
      </c>
      <c r="BN93" s="72" t="str">
        <f t="array" ref="BN93">IFERROR(TRIM(_xlfn.REGEXEXTRACT(BL93,"(\d+[%]?$|[A-Z]+$)")),"")</f>
        <v/>
      </c>
      <c r="BO93" s="55"/>
      <c r="BP93" s="70" t="str">
        <f t="shared" si="95"/>
        <v/>
      </c>
      <c r="BQ93" s="70" t="str">
        <f t="array" ref="BQ93">IFERROR(TRIM(_xlfn.REGEXEXTRACT(BO93,"(\d.+[%]?$|[0-9]|[A-Z]+$)")),"")</f>
        <v/>
      </c>
      <c r="BR93" s="71" t="str">
        <f>IFERROR(VLOOKUP(BP93,'사용자가 입력할 시트'!$AF$2:$AG$60,2,FALSE),BP93)</f>
        <v/>
      </c>
      <c r="BS93" s="72" t="str">
        <f t="array" ref="BS93">IFERROR(TRIM(_xlfn.REGEXEXTRACT(BQ93,"(\d+[%]?$|[A-Z]+$)")),"")</f>
        <v/>
      </c>
      <c r="BT93" s="55"/>
      <c r="BU93" s="70" t="str">
        <f t="shared" si="96"/>
        <v/>
      </c>
      <c r="BV93" s="70" t="str">
        <f t="array" ref="BV93">IFERROR(TRIM(_xlfn.REGEXEXTRACT(BT93,"(\d.+[%]?$|[0-9]|[A-Z]+$)")),"")</f>
        <v/>
      </c>
      <c r="BW93" s="71" t="str">
        <f>IFERROR(VLOOKUP(BU93,'사용자가 입력할 시트'!$AF$2:$AG$60,2,FALSE),BU93)</f>
        <v/>
      </c>
      <c r="BX93" s="72" t="str">
        <f t="array" ref="BX93">IFERROR(TRIM(_xlfn.REGEXEXTRACT(BV93,"(\d+[%]?$|[A-Z]+$)")),"")</f>
        <v/>
      </c>
      <c r="BY93" s="55"/>
      <c r="BZ93" s="70" t="str">
        <f t="shared" si="97"/>
        <v/>
      </c>
      <c r="CA93" s="70" t="str">
        <f t="array" ref="CA93">IFERROR(TRIM(_xlfn.REGEXEXTRACT(BY93,"(\d.+[%]?$|[0-9]|[A-Z]+$)")),"")</f>
        <v/>
      </c>
      <c r="CB93" s="71" t="str">
        <f>IFERROR(VLOOKUP(BZ93,'사용자가 입력할 시트'!$AF$2:$AG$60,2,FALSE),BZ93)</f>
        <v/>
      </c>
      <c r="CC93" s="72" t="str">
        <f t="array" ref="CC93">IFERROR(TRIM(_xlfn.REGEXEXTRACT(CA93,"(\d+[%]?$|[A-Z]+$)")),"")</f>
        <v/>
      </c>
    </row>
    <row r="94" spans="23:81">
      <c r="W94" s="2" t="str">
        <f t="shared" ca="1" si="84"/>
        <v/>
      </c>
      <c r="X94" s="2" t="str">
        <f t="shared" ca="1" si="85"/>
        <v/>
      </c>
      <c r="Y94" s="2" t="str">
        <f t="shared" ca="1" si="86"/>
        <v/>
      </c>
      <c r="Z94" s="42" t="str">
        <f t="shared" ref="Z94" ca="1" si="121">IF(Y92="","",$Y$4&amp;" :"&amp;Y92&amp;IF(Y92=Y93,"","("&amp;Y93&amp;")"))</f>
        <v/>
      </c>
      <c r="AC94" s="1"/>
      <c r="AD94" s="1"/>
      <c r="AF94" s="55"/>
      <c r="AG94" s="70" t="str">
        <f t="shared" si="88"/>
        <v/>
      </c>
      <c r="AH94" s="70" t="str">
        <f t="array" ref="AH94">IFERROR(TRIM(_xlfn.REGEXEXTRACT(AF94,"(\d.+[%]?$|[0-9]|[A-Z]+$)")),"")</f>
        <v/>
      </c>
      <c r="AI94" s="71" t="str">
        <f>IFERROR(VLOOKUP(AG94,'사용자가 입력할 시트'!$AF$2:$AG$60,2,FALSE),AG94)</f>
        <v/>
      </c>
      <c r="AJ94" s="72" t="str">
        <f t="array" ref="AJ94">IFERROR(TRIM(_xlfn.REGEXEXTRACT(AH94,"(\d+[%]?$|[A-Z]+$)")),"")</f>
        <v/>
      </c>
      <c r="AK94" s="55"/>
      <c r="AL94" s="70" t="str">
        <f t="shared" si="89"/>
        <v/>
      </c>
      <c r="AM94" s="70" t="str">
        <f t="array" ref="AM94">IFERROR(TRIM(_xlfn.REGEXEXTRACT(AK94,"(\d.+[%]?$|[0-9]|[A-Z]+$)")),"")</f>
        <v/>
      </c>
      <c r="AN94" s="71" t="str">
        <f>IFERROR(VLOOKUP(AL94,'사용자가 입력할 시트'!$AF$2:$AG$60,2,FALSE),AL94)</f>
        <v/>
      </c>
      <c r="AO94" s="72" t="str">
        <f t="array" ref="AO94">IFERROR(TRIM(_xlfn.REGEXEXTRACT(AM94,"(\d+[%]?$|[A-Z]+$)")),"")</f>
        <v/>
      </c>
      <c r="AP94" s="55"/>
      <c r="AQ94" s="70" t="str">
        <f t="shared" si="90"/>
        <v/>
      </c>
      <c r="AR94" s="70" t="str">
        <f t="array" ref="AR94">IFERROR(TRIM(_xlfn.REGEXEXTRACT(AP94,"(\d.+[%]?$|[0-9]|[A-Z]+$)")),"")</f>
        <v/>
      </c>
      <c r="AS94" s="71" t="str">
        <f>IFERROR(VLOOKUP(AQ94,'사용자가 입력할 시트'!$AF$2:$AG$60,2,FALSE),AQ94)</f>
        <v/>
      </c>
      <c r="AT94" s="72" t="str">
        <f t="array" ref="AT94">IFERROR(TRIM(_xlfn.REGEXEXTRACT(AR94,"(\d+[%]?$|[A-Z]+$)")),"")</f>
        <v/>
      </c>
      <c r="AU94" s="55"/>
      <c r="AV94" s="70" t="str">
        <f t="shared" si="91"/>
        <v/>
      </c>
      <c r="AW94" s="70" t="str">
        <f t="array" ref="AW94">IFERROR(TRIM(_xlfn.REGEXEXTRACT(AU94,"(\d.+[%]?$|[0-9]|[A-Z]+$)")),"")</f>
        <v/>
      </c>
      <c r="AX94" s="71" t="str">
        <f>IFERROR(VLOOKUP(AV94,'사용자가 입력할 시트'!$AF$2:$AG$60,2,FALSE),AV94)</f>
        <v/>
      </c>
      <c r="AY94" s="72" t="str">
        <f t="array" ref="AY94">IFERROR(TRIM(_xlfn.REGEXEXTRACT(AW94,"(\d+[%]?$|[A-Z]+$)")),"")</f>
        <v/>
      </c>
      <c r="AZ94" s="55"/>
      <c r="BA94" s="70" t="str">
        <f t="shared" si="92"/>
        <v/>
      </c>
      <c r="BB94" s="70" t="str">
        <f t="array" ref="BB94">IFERROR(TRIM(_xlfn.REGEXEXTRACT(AZ94,"(\d.+[%]?$|[0-9]|[A-Z]+$)")),"")</f>
        <v/>
      </c>
      <c r="BC94" s="71" t="str">
        <f>IFERROR(VLOOKUP(BA94,'사용자가 입력할 시트'!$AF$2:$AG$60,2,FALSE),BA94)</f>
        <v/>
      </c>
      <c r="BD94" s="72" t="str">
        <f t="array" ref="BD94">IFERROR(TRIM(_xlfn.REGEXEXTRACT(BB94,"(\d+[%]?$|[A-Z]+$)")),"")</f>
        <v/>
      </c>
      <c r="BE94" s="55"/>
      <c r="BF94" s="70" t="str">
        <f t="shared" si="93"/>
        <v/>
      </c>
      <c r="BG94" s="70" t="str">
        <f t="array" ref="BG94">IFERROR(TRIM(_xlfn.REGEXEXTRACT(BE94,"(\d.+[%]?$|[0-9]|[A-Z]+$)")),"")</f>
        <v/>
      </c>
      <c r="BH94" s="71" t="str">
        <f>IFERROR(VLOOKUP(BF94,'사용자가 입력할 시트'!$AF$2:$AG$60,2,FALSE),BF94)</f>
        <v/>
      </c>
      <c r="BI94" s="72" t="str">
        <f t="array" ref="BI94">IFERROR(TRIM(_xlfn.REGEXEXTRACT(BG94,"(\d+[%]?$|[A-Z]+$)")),"")</f>
        <v/>
      </c>
      <c r="BJ94" s="55"/>
      <c r="BK94" s="70" t="str">
        <f t="shared" si="94"/>
        <v/>
      </c>
      <c r="BL94" s="70" t="str">
        <f t="array" ref="BL94">IFERROR(TRIM(_xlfn.REGEXEXTRACT(BJ94,"(\d.+[%]?$|[0-9]|[A-Z]+$)")),"")</f>
        <v/>
      </c>
      <c r="BM94" s="71" t="str">
        <f>IFERROR(VLOOKUP(BK94,'사용자가 입력할 시트'!$AF$2:$AG$60,2,FALSE),BK94)</f>
        <v/>
      </c>
      <c r="BN94" s="72" t="str">
        <f t="array" ref="BN94">IFERROR(TRIM(_xlfn.REGEXEXTRACT(BL94,"(\d+[%]?$|[A-Z]+$)")),"")</f>
        <v/>
      </c>
      <c r="BO94" s="55"/>
      <c r="BP94" s="70" t="str">
        <f t="shared" si="95"/>
        <v/>
      </c>
      <c r="BQ94" s="70" t="str">
        <f t="array" ref="BQ94">IFERROR(TRIM(_xlfn.REGEXEXTRACT(BO94,"(\d.+[%]?$|[0-9]|[A-Z]+$)")),"")</f>
        <v/>
      </c>
      <c r="BR94" s="71" t="str">
        <f>IFERROR(VLOOKUP(BP94,'사용자가 입력할 시트'!$AF$2:$AG$60,2,FALSE),BP94)</f>
        <v/>
      </c>
      <c r="BS94" s="72" t="str">
        <f t="array" ref="BS94">IFERROR(TRIM(_xlfn.REGEXEXTRACT(BQ94,"(\d+[%]?$|[A-Z]+$)")),"")</f>
        <v/>
      </c>
      <c r="BT94" s="55"/>
      <c r="BU94" s="70" t="str">
        <f t="shared" si="96"/>
        <v/>
      </c>
      <c r="BV94" s="70" t="str">
        <f t="array" ref="BV94">IFERROR(TRIM(_xlfn.REGEXEXTRACT(BT94,"(\d.+[%]?$|[0-9]|[A-Z]+$)")),"")</f>
        <v/>
      </c>
      <c r="BW94" s="71" t="str">
        <f>IFERROR(VLOOKUP(BU94,'사용자가 입력할 시트'!$AF$2:$AG$60,2,FALSE),BU94)</f>
        <v/>
      </c>
      <c r="BX94" s="72" t="str">
        <f t="array" ref="BX94">IFERROR(TRIM(_xlfn.REGEXEXTRACT(BV94,"(\d+[%]?$|[A-Z]+$)")),"")</f>
        <v/>
      </c>
      <c r="BY94" s="55"/>
      <c r="BZ94" s="70" t="str">
        <f t="shared" si="97"/>
        <v/>
      </c>
      <c r="CA94" s="70" t="str">
        <f t="array" ref="CA94">IFERROR(TRIM(_xlfn.REGEXEXTRACT(BY94,"(\d.+[%]?$|[0-9]|[A-Z]+$)")),"")</f>
        <v/>
      </c>
      <c r="CB94" s="71" t="str">
        <f>IFERROR(VLOOKUP(BZ94,'사용자가 입력할 시트'!$AF$2:$AG$60,2,FALSE),BZ94)</f>
        <v/>
      </c>
      <c r="CC94" s="72" t="str">
        <f t="array" ref="CC94">IFERROR(TRIM(_xlfn.REGEXEXTRACT(CA94,"(\d+[%]?$|[A-Z]+$)")),"")</f>
        <v/>
      </c>
    </row>
    <row r="95" spans="23:81">
      <c r="W95" s="2" t="str">
        <f t="shared" ca="1" si="84"/>
        <v/>
      </c>
      <c r="X95" s="2" t="str">
        <f t="shared" ca="1" si="85"/>
        <v/>
      </c>
      <c r="Y95" s="2" t="str">
        <f t="shared" ca="1" si="86"/>
        <v/>
      </c>
      <c r="Z95" s="42" t="str">
        <f t="shared" ref="Z95" ca="1" si="122">IF(W95="","",$W$4&amp;" :"&amp;W95&amp;IF(W95=W96,"","("&amp;W96&amp;")"))</f>
        <v/>
      </c>
      <c r="AC95" s="1"/>
      <c r="AD95" s="1"/>
      <c r="AF95" s="55"/>
      <c r="AG95" s="70" t="str">
        <f t="shared" si="88"/>
        <v/>
      </c>
      <c r="AH95" s="70" t="str">
        <f t="array" ref="AH95">IFERROR(TRIM(_xlfn.REGEXEXTRACT(AF95,"(\d.+[%]?$|[0-9]|[A-Z]+$)")),"")</f>
        <v/>
      </c>
      <c r="AI95" s="71" t="str">
        <f>IFERROR(VLOOKUP(AG95,'사용자가 입력할 시트'!$AF$2:$AG$60,2,FALSE),AG95)</f>
        <v/>
      </c>
      <c r="AJ95" s="72" t="str">
        <f t="array" ref="AJ95">IFERROR(TRIM(_xlfn.REGEXEXTRACT(AH95,"(\d+[%]?$|[A-Z]+$)")),"")</f>
        <v/>
      </c>
      <c r="AK95" s="55"/>
      <c r="AL95" s="70" t="str">
        <f t="shared" si="89"/>
        <v/>
      </c>
      <c r="AM95" s="70" t="str">
        <f t="array" ref="AM95">IFERROR(TRIM(_xlfn.REGEXEXTRACT(AK95,"(\d.+[%]?$|[0-9]|[A-Z]+$)")),"")</f>
        <v/>
      </c>
      <c r="AN95" s="71" t="str">
        <f>IFERROR(VLOOKUP(AL95,'사용자가 입력할 시트'!$AF$2:$AG$60,2,FALSE),AL95)</f>
        <v/>
      </c>
      <c r="AO95" s="72" t="str">
        <f t="array" ref="AO95">IFERROR(TRIM(_xlfn.REGEXEXTRACT(AM95,"(\d+[%]?$|[A-Z]+$)")),"")</f>
        <v/>
      </c>
      <c r="AP95" s="55"/>
      <c r="AQ95" s="70" t="str">
        <f t="shared" si="90"/>
        <v/>
      </c>
      <c r="AR95" s="70" t="str">
        <f t="array" ref="AR95">IFERROR(TRIM(_xlfn.REGEXEXTRACT(AP95,"(\d.+[%]?$|[0-9]|[A-Z]+$)")),"")</f>
        <v/>
      </c>
      <c r="AS95" s="71" t="str">
        <f>IFERROR(VLOOKUP(AQ95,'사용자가 입력할 시트'!$AF$2:$AG$60,2,FALSE),AQ95)</f>
        <v/>
      </c>
      <c r="AT95" s="72" t="str">
        <f t="array" ref="AT95">IFERROR(TRIM(_xlfn.REGEXEXTRACT(AR95,"(\d+[%]?$|[A-Z]+$)")),"")</f>
        <v/>
      </c>
      <c r="AU95" s="55"/>
      <c r="AV95" s="70" t="str">
        <f t="shared" si="91"/>
        <v/>
      </c>
      <c r="AW95" s="70" t="str">
        <f t="array" ref="AW95">IFERROR(TRIM(_xlfn.REGEXEXTRACT(AU95,"(\d.+[%]?$|[0-9]|[A-Z]+$)")),"")</f>
        <v/>
      </c>
      <c r="AX95" s="71" t="str">
        <f>IFERROR(VLOOKUP(AV95,'사용자가 입력할 시트'!$AF$2:$AG$60,2,FALSE),AV95)</f>
        <v/>
      </c>
      <c r="AY95" s="72" t="str">
        <f t="array" ref="AY95">IFERROR(TRIM(_xlfn.REGEXEXTRACT(AW95,"(\d+[%]?$|[A-Z]+$)")),"")</f>
        <v/>
      </c>
      <c r="AZ95" s="55"/>
      <c r="BA95" s="70" t="str">
        <f t="shared" si="92"/>
        <v/>
      </c>
      <c r="BB95" s="70" t="str">
        <f t="array" ref="BB95">IFERROR(TRIM(_xlfn.REGEXEXTRACT(AZ95,"(\d.+[%]?$|[0-9]|[A-Z]+$)")),"")</f>
        <v/>
      </c>
      <c r="BC95" s="71" t="str">
        <f>IFERROR(VLOOKUP(BA95,'사용자가 입력할 시트'!$AF$2:$AG$60,2,FALSE),BA95)</f>
        <v/>
      </c>
      <c r="BD95" s="72" t="str">
        <f t="array" ref="BD95">IFERROR(TRIM(_xlfn.REGEXEXTRACT(BB95,"(\d+[%]?$|[A-Z]+$)")),"")</f>
        <v/>
      </c>
      <c r="BE95" s="55"/>
      <c r="BF95" s="70" t="str">
        <f t="shared" si="93"/>
        <v/>
      </c>
      <c r="BG95" s="70" t="str">
        <f t="array" ref="BG95">IFERROR(TRIM(_xlfn.REGEXEXTRACT(BE95,"(\d.+[%]?$|[0-9]|[A-Z]+$)")),"")</f>
        <v/>
      </c>
      <c r="BH95" s="71" t="str">
        <f>IFERROR(VLOOKUP(BF95,'사용자가 입력할 시트'!$AF$2:$AG$60,2,FALSE),BF95)</f>
        <v/>
      </c>
      <c r="BI95" s="72" t="str">
        <f t="array" ref="BI95">IFERROR(TRIM(_xlfn.REGEXEXTRACT(BG95,"(\d+[%]?$|[A-Z]+$)")),"")</f>
        <v/>
      </c>
      <c r="BJ95" s="55"/>
      <c r="BK95" s="70" t="str">
        <f t="shared" si="94"/>
        <v/>
      </c>
      <c r="BL95" s="70" t="str">
        <f t="array" ref="BL95">IFERROR(TRIM(_xlfn.REGEXEXTRACT(BJ95,"(\d.+[%]?$|[0-9]|[A-Z]+$)")),"")</f>
        <v/>
      </c>
      <c r="BM95" s="71" t="str">
        <f>IFERROR(VLOOKUP(BK95,'사용자가 입력할 시트'!$AF$2:$AG$60,2,FALSE),BK95)</f>
        <v/>
      </c>
      <c r="BN95" s="72" t="str">
        <f t="array" ref="BN95">IFERROR(TRIM(_xlfn.REGEXEXTRACT(BL95,"(\d+[%]?$|[A-Z]+$)")),"")</f>
        <v/>
      </c>
      <c r="BO95" s="55"/>
      <c r="BP95" s="70" t="str">
        <f t="shared" si="95"/>
        <v/>
      </c>
      <c r="BQ95" s="70" t="str">
        <f t="array" ref="BQ95">IFERROR(TRIM(_xlfn.REGEXEXTRACT(BO95,"(\d.+[%]?$|[0-9]|[A-Z]+$)")),"")</f>
        <v/>
      </c>
      <c r="BR95" s="71" t="str">
        <f>IFERROR(VLOOKUP(BP95,'사용자가 입력할 시트'!$AF$2:$AG$60,2,FALSE),BP95)</f>
        <v/>
      </c>
      <c r="BS95" s="72" t="str">
        <f t="array" ref="BS95">IFERROR(TRIM(_xlfn.REGEXEXTRACT(BQ95,"(\d+[%]?$|[A-Z]+$)")),"")</f>
        <v/>
      </c>
      <c r="BT95" s="55"/>
      <c r="BU95" s="70" t="str">
        <f t="shared" si="96"/>
        <v/>
      </c>
      <c r="BV95" s="70" t="str">
        <f t="array" ref="BV95">IFERROR(TRIM(_xlfn.REGEXEXTRACT(BT95,"(\d.+[%]?$|[0-9]|[A-Z]+$)")),"")</f>
        <v/>
      </c>
      <c r="BW95" s="71" t="str">
        <f>IFERROR(VLOOKUP(BU95,'사용자가 입력할 시트'!$AF$2:$AG$60,2,FALSE),BU95)</f>
        <v/>
      </c>
      <c r="BX95" s="72" t="str">
        <f t="array" ref="BX95">IFERROR(TRIM(_xlfn.REGEXEXTRACT(BV95,"(\d+[%]?$|[A-Z]+$)")),"")</f>
        <v/>
      </c>
      <c r="BY95" s="55"/>
      <c r="BZ95" s="70" t="str">
        <f t="shared" si="97"/>
        <v/>
      </c>
      <c r="CA95" s="70" t="str">
        <f t="array" ref="CA95">IFERROR(TRIM(_xlfn.REGEXEXTRACT(BY95,"(\d.+[%]?$|[0-9]|[A-Z]+$)")),"")</f>
        <v/>
      </c>
      <c r="CB95" s="71" t="str">
        <f>IFERROR(VLOOKUP(BZ95,'사용자가 입력할 시트'!$AF$2:$AG$60,2,FALSE),BZ95)</f>
        <v/>
      </c>
      <c r="CC95" s="72" t="str">
        <f t="array" ref="CC95">IFERROR(TRIM(_xlfn.REGEXEXTRACT(CA95,"(\d+[%]?$|[A-Z]+$)")),"")</f>
        <v/>
      </c>
    </row>
    <row r="96" spans="23:81">
      <c r="W96" s="2" t="str">
        <f t="shared" ca="1" si="84"/>
        <v/>
      </c>
      <c r="X96" s="2" t="str">
        <f t="shared" ca="1" si="85"/>
        <v/>
      </c>
      <c r="Y96" s="2" t="str">
        <f t="shared" ca="1" si="86"/>
        <v/>
      </c>
      <c r="Z96" s="42" t="str">
        <f t="shared" ref="Z96" ca="1" si="123">IF(X95="","",$X$4&amp;" :"&amp;X95&amp;IF(X95=X96,"","("&amp;X96&amp;")"))</f>
        <v/>
      </c>
      <c r="AC96" s="1"/>
      <c r="AD96" s="1"/>
      <c r="AF96" s="55"/>
      <c r="AG96" s="70" t="str">
        <f t="shared" si="88"/>
        <v/>
      </c>
      <c r="AH96" s="70" t="str">
        <f t="array" ref="AH96">IFERROR(TRIM(_xlfn.REGEXEXTRACT(AF96,"(\d.+[%]?$|[0-9]|[A-Z]+$)")),"")</f>
        <v/>
      </c>
      <c r="AI96" s="71" t="str">
        <f>IFERROR(VLOOKUP(AG96,'사용자가 입력할 시트'!$AF$2:$AG$60,2,FALSE),AG96)</f>
        <v/>
      </c>
      <c r="AJ96" s="72" t="str">
        <f t="array" ref="AJ96">IFERROR(TRIM(_xlfn.REGEXEXTRACT(AH96,"(\d+[%]?$|[A-Z]+$)")),"")</f>
        <v/>
      </c>
      <c r="AK96" s="55"/>
      <c r="AL96" s="70" t="str">
        <f t="shared" si="89"/>
        <v/>
      </c>
      <c r="AM96" s="70" t="str">
        <f t="array" ref="AM96">IFERROR(TRIM(_xlfn.REGEXEXTRACT(AK96,"(\d.+[%]?$|[0-9]|[A-Z]+$)")),"")</f>
        <v/>
      </c>
      <c r="AN96" s="71" t="str">
        <f>IFERROR(VLOOKUP(AL96,'사용자가 입력할 시트'!$AF$2:$AG$60,2,FALSE),AL96)</f>
        <v/>
      </c>
      <c r="AO96" s="72" t="str">
        <f t="array" ref="AO96">IFERROR(TRIM(_xlfn.REGEXEXTRACT(AM96,"(\d+[%]?$|[A-Z]+$)")),"")</f>
        <v/>
      </c>
      <c r="AP96" s="55"/>
      <c r="AQ96" s="70" t="str">
        <f t="shared" si="90"/>
        <v/>
      </c>
      <c r="AR96" s="70" t="str">
        <f t="array" ref="AR96">IFERROR(TRIM(_xlfn.REGEXEXTRACT(AP96,"(\d.+[%]?$|[0-9]|[A-Z]+$)")),"")</f>
        <v/>
      </c>
      <c r="AS96" s="71" t="str">
        <f>IFERROR(VLOOKUP(AQ96,'사용자가 입력할 시트'!$AF$2:$AG$60,2,FALSE),AQ96)</f>
        <v/>
      </c>
      <c r="AT96" s="72" t="str">
        <f t="array" ref="AT96">IFERROR(TRIM(_xlfn.REGEXEXTRACT(AR96,"(\d+[%]?$|[A-Z]+$)")),"")</f>
        <v/>
      </c>
      <c r="AU96" s="55"/>
      <c r="AV96" s="70" t="str">
        <f t="shared" si="91"/>
        <v/>
      </c>
      <c r="AW96" s="70" t="str">
        <f t="array" ref="AW96">IFERROR(TRIM(_xlfn.REGEXEXTRACT(AU96,"(\d.+[%]?$|[0-9]|[A-Z]+$)")),"")</f>
        <v/>
      </c>
      <c r="AX96" s="71" t="str">
        <f>IFERROR(VLOOKUP(AV96,'사용자가 입력할 시트'!$AF$2:$AG$60,2,FALSE),AV96)</f>
        <v/>
      </c>
      <c r="AY96" s="72" t="str">
        <f t="array" ref="AY96">IFERROR(TRIM(_xlfn.REGEXEXTRACT(AW96,"(\d+[%]?$|[A-Z]+$)")),"")</f>
        <v/>
      </c>
      <c r="AZ96" s="55"/>
      <c r="BA96" s="70" t="str">
        <f t="shared" si="92"/>
        <v/>
      </c>
      <c r="BB96" s="70" t="str">
        <f t="array" ref="BB96">IFERROR(TRIM(_xlfn.REGEXEXTRACT(AZ96,"(\d.+[%]?$|[0-9]|[A-Z]+$)")),"")</f>
        <v/>
      </c>
      <c r="BC96" s="71" t="str">
        <f>IFERROR(VLOOKUP(BA96,'사용자가 입력할 시트'!$AF$2:$AG$60,2,FALSE),BA96)</f>
        <v/>
      </c>
      <c r="BD96" s="72" t="str">
        <f t="array" ref="BD96">IFERROR(TRIM(_xlfn.REGEXEXTRACT(BB96,"(\d+[%]?$|[A-Z]+$)")),"")</f>
        <v/>
      </c>
      <c r="BE96" s="55"/>
      <c r="BF96" s="70" t="str">
        <f t="shared" si="93"/>
        <v/>
      </c>
      <c r="BG96" s="70" t="str">
        <f t="array" ref="BG96">IFERROR(TRIM(_xlfn.REGEXEXTRACT(BE96,"(\d.+[%]?$|[0-9]|[A-Z]+$)")),"")</f>
        <v/>
      </c>
      <c r="BH96" s="71" t="str">
        <f>IFERROR(VLOOKUP(BF96,'사용자가 입력할 시트'!$AF$2:$AG$60,2,FALSE),BF96)</f>
        <v/>
      </c>
      <c r="BI96" s="72" t="str">
        <f t="array" ref="BI96">IFERROR(TRIM(_xlfn.REGEXEXTRACT(BG96,"(\d+[%]?$|[A-Z]+$)")),"")</f>
        <v/>
      </c>
      <c r="BJ96" s="55"/>
      <c r="BK96" s="70" t="str">
        <f t="shared" si="94"/>
        <v/>
      </c>
      <c r="BL96" s="70" t="str">
        <f t="array" ref="BL96">IFERROR(TRIM(_xlfn.REGEXEXTRACT(BJ96,"(\d.+[%]?$|[0-9]|[A-Z]+$)")),"")</f>
        <v/>
      </c>
      <c r="BM96" s="71" t="str">
        <f>IFERROR(VLOOKUP(BK96,'사용자가 입력할 시트'!$AF$2:$AG$60,2,FALSE),BK96)</f>
        <v/>
      </c>
      <c r="BN96" s="72" t="str">
        <f t="array" ref="BN96">IFERROR(TRIM(_xlfn.REGEXEXTRACT(BL96,"(\d+[%]?$|[A-Z]+$)")),"")</f>
        <v/>
      </c>
      <c r="BO96" s="55"/>
      <c r="BP96" s="70" t="str">
        <f t="shared" si="95"/>
        <v/>
      </c>
      <c r="BQ96" s="70" t="str">
        <f t="array" ref="BQ96">IFERROR(TRIM(_xlfn.REGEXEXTRACT(BO96,"(\d.+[%]?$|[0-9]|[A-Z]+$)")),"")</f>
        <v/>
      </c>
      <c r="BR96" s="71" t="str">
        <f>IFERROR(VLOOKUP(BP96,'사용자가 입력할 시트'!$AF$2:$AG$60,2,FALSE),BP96)</f>
        <v/>
      </c>
      <c r="BS96" s="72" t="str">
        <f t="array" ref="BS96">IFERROR(TRIM(_xlfn.REGEXEXTRACT(BQ96,"(\d+[%]?$|[A-Z]+$)")),"")</f>
        <v/>
      </c>
      <c r="BT96" s="55"/>
      <c r="BU96" s="70" t="str">
        <f t="shared" si="96"/>
        <v/>
      </c>
      <c r="BV96" s="70" t="str">
        <f t="array" ref="BV96">IFERROR(TRIM(_xlfn.REGEXEXTRACT(BT96,"(\d.+[%]?$|[0-9]|[A-Z]+$)")),"")</f>
        <v/>
      </c>
      <c r="BW96" s="71" t="str">
        <f>IFERROR(VLOOKUP(BU96,'사용자가 입력할 시트'!$AF$2:$AG$60,2,FALSE),BU96)</f>
        <v/>
      </c>
      <c r="BX96" s="72" t="str">
        <f t="array" ref="BX96">IFERROR(TRIM(_xlfn.REGEXEXTRACT(BV96,"(\d+[%]?$|[A-Z]+$)")),"")</f>
        <v/>
      </c>
      <c r="BY96" s="55"/>
      <c r="BZ96" s="70" t="str">
        <f t="shared" si="97"/>
        <v/>
      </c>
      <c r="CA96" s="70" t="str">
        <f t="array" ref="CA96">IFERROR(TRIM(_xlfn.REGEXEXTRACT(BY96,"(\d.+[%]?$|[0-9]|[A-Z]+$)")),"")</f>
        <v/>
      </c>
      <c r="CB96" s="71" t="str">
        <f>IFERROR(VLOOKUP(BZ96,'사용자가 입력할 시트'!$AF$2:$AG$60,2,FALSE),BZ96)</f>
        <v/>
      </c>
      <c r="CC96" s="72" t="str">
        <f t="array" ref="CC96">IFERROR(TRIM(_xlfn.REGEXEXTRACT(CA96,"(\d+[%]?$|[A-Z]+$)")),"")</f>
        <v/>
      </c>
    </row>
    <row r="97" spans="29:81">
      <c r="AC97" s="1"/>
      <c r="AD97" s="1"/>
      <c r="AF97" s="55"/>
      <c r="AG97" s="70" t="str">
        <f t="shared" si="88"/>
        <v/>
      </c>
      <c r="AH97" s="70" t="str">
        <f t="array" ref="AH97">IFERROR(TRIM(_xlfn.REGEXEXTRACT(AF97,"(\d.+[%]?$|[0-9]|[A-Z]+$)")),"")</f>
        <v/>
      </c>
      <c r="AI97" s="71" t="str">
        <f>IFERROR(VLOOKUP(AG97,'사용자가 입력할 시트'!$AF$2:$AG$60,2,FALSE),AG97)</f>
        <v/>
      </c>
      <c r="AJ97" s="72" t="str">
        <f t="array" ref="AJ97">IFERROR(TRIM(_xlfn.REGEXEXTRACT(AH97,"(\d+[%]?$|[A-Z]+$)")),"")</f>
        <v/>
      </c>
      <c r="AK97" s="55"/>
      <c r="AL97" s="70" t="str">
        <f t="shared" si="89"/>
        <v/>
      </c>
      <c r="AM97" s="70" t="str">
        <f t="array" ref="AM97">IFERROR(TRIM(_xlfn.REGEXEXTRACT(AK97,"(\d.+[%]?$|[0-9]|[A-Z]+$)")),"")</f>
        <v/>
      </c>
      <c r="AN97" s="71" t="str">
        <f>IFERROR(VLOOKUP(AL97,'사용자가 입력할 시트'!$AF$2:$AG$60,2,FALSE),AL97)</f>
        <v/>
      </c>
      <c r="AO97" s="72" t="str">
        <f t="array" ref="AO97">IFERROR(TRIM(_xlfn.REGEXEXTRACT(AM97,"(\d+[%]?$|[A-Z]+$)")),"")</f>
        <v/>
      </c>
      <c r="AP97" s="55"/>
      <c r="AQ97" s="70" t="str">
        <f t="shared" si="90"/>
        <v/>
      </c>
      <c r="AR97" s="70" t="str">
        <f t="array" ref="AR97">IFERROR(TRIM(_xlfn.REGEXEXTRACT(AP97,"(\d.+[%]?$|[0-9]|[A-Z]+$)")),"")</f>
        <v/>
      </c>
      <c r="AS97" s="71" t="str">
        <f>IFERROR(VLOOKUP(AQ97,'사용자가 입력할 시트'!$AF$2:$AG$60,2,FALSE),AQ97)</f>
        <v/>
      </c>
      <c r="AT97" s="72" t="str">
        <f t="array" ref="AT97">IFERROR(TRIM(_xlfn.REGEXEXTRACT(AR97,"(\d+[%]?$|[A-Z]+$)")),"")</f>
        <v/>
      </c>
      <c r="AU97" s="55"/>
      <c r="AV97" s="70" t="str">
        <f t="shared" si="91"/>
        <v/>
      </c>
      <c r="AW97" s="70" t="str">
        <f t="array" ref="AW97">IFERROR(TRIM(_xlfn.REGEXEXTRACT(AU97,"(\d.+[%]?$|[0-9]|[A-Z]+$)")),"")</f>
        <v/>
      </c>
      <c r="AX97" s="71" t="str">
        <f>IFERROR(VLOOKUP(AV97,'사용자가 입력할 시트'!$AF$2:$AG$60,2,FALSE),AV97)</f>
        <v/>
      </c>
      <c r="AY97" s="72" t="str">
        <f t="array" ref="AY97">IFERROR(TRIM(_xlfn.REGEXEXTRACT(AW97,"(\d+[%]?$|[A-Z]+$)")),"")</f>
        <v/>
      </c>
      <c r="AZ97" s="55"/>
      <c r="BA97" s="70" t="str">
        <f t="shared" si="92"/>
        <v/>
      </c>
      <c r="BB97" s="70" t="str">
        <f t="array" ref="BB97">IFERROR(TRIM(_xlfn.REGEXEXTRACT(AZ97,"(\d.+[%]?$|[0-9]|[A-Z]+$)")),"")</f>
        <v/>
      </c>
      <c r="BC97" s="71" t="str">
        <f>IFERROR(VLOOKUP(BA97,'사용자가 입력할 시트'!$AF$2:$AG$60,2,FALSE),BA97)</f>
        <v/>
      </c>
      <c r="BD97" s="72" t="str">
        <f t="array" ref="BD97">IFERROR(TRIM(_xlfn.REGEXEXTRACT(BB97,"(\d+[%]?$|[A-Z]+$)")),"")</f>
        <v/>
      </c>
      <c r="BE97" s="55"/>
      <c r="BF97" s="70" t="str">
        <f t="shared" si="93"/>
        <v/>
      </c>
      <c r="BG97" s="70" t="str">
        <f t="array" ref="BG97">IFERROR(TRIM(_xlfn.REGEXEXTRACT(BE97,"(\d.+[%]?$|[0-9]|[A-Z]+$)")),"")</f>
        <v/>
      </c>
      <c r="BH97" s="71" t="str">
        <f>IFERROR(VLOOKUP(BF97,'사용자가 입력할 시트'!$AF$2:$AG$60,2,FALSE),BF97)</f>
        <v/>
      </c>
      <c r="BI97" s="72" t="str">
        <f t="array" ref="BI97">IFERROR(TRIM(_xlfn.REGEXEXTRACT(BG97,"(\d+[%]?$|[A-Z]+$)")),"")</f>
        <v/>
      </c>
      <c r="BJ97" s="55"/>
      <c r="BK97" s="70" t="str">
        <f t="shared" si="94"/>
        <v/>
      </c>
      <c r="BL97" s="70" t="str">
        <f t="array" ref="BL97">IFERROR(TRIM(_xlfn.REGEXEXTRACT(BJ97,"(\d.+[%]?$|[0-9]|[A-Z]+$)")),"")</f>
        <v/>
      </c>
      <c r="BM97" s="71" t="str">
        <f>IFERROR(VLOOKUP(BK97,'사용자가 입력할 시트'!$AF$2:$AG$60,2,FALSE),BK97)</f>
        <v/>
      </c>
      <c r="BN97" s="72" t="str">
        <f t="array" ref="BN97">IFERROR(TRIM(_xlfn.REGEXEXTRACT(BL97,"(\d+[%]?$|[A-Z]+$)")),"")</f>
        <v/>
      </c>
      <c r="BO97" s="55"/>
      <c r="BP97" s="70" t="str">
        <f t="shared" si="95"/>
        <v/>
      </c>
      <c r="BQ97" s="70" t="str">
        <f t="array" ref="BQ97">IFERROR(TRIM(_xlfn.REGEXEXTRACT(BO97,"(\d.+[%]?$|[0-9]|[A-Z]+$)")),"")</f>
        <v/>
      </c>
      <c r="BR97" s="71" t="str">
        <f>IFERROR(VLOOKUP(BP97,'사용자가 입력할 시트'!$AF$2:$AG$60,2,FALSE),BP97)</f>
        <v/>
      </c>
      <c r="BS97" s="72" t="str">
        <f t="array" ref="BS97">IFERROR(TRIM(_xlfn.REGEXEXTRACT(BQ97,"(\d+[%]?$|[A-Z]+$)")),"")</f>
        <v/>
      </c>
      <c r="BT97" s="55"/>
      <c r="BU97" s="70" t="str">
        <f t="shared" si="96"/>
        <v/>
      </c>
      <c r="BV97" s="70" t="str">
        <f t="array" ref="BV97">IFERROR(TRIM(_xlfn.REGEXEXTRACT(BT97,"(\d.+[%]?$|[0-9]|[A-Z]+$)")),"")</f>
        <v/>
      </c>
      <c r="BW97" s="71" t="str">
        <f>IFERROR(VLOOKUP(BU97,'사용자가 입력할 시트'!$AF$2:$AG$60,2,FALSE),BU97)</f>
        <v/>
      </c>
      <c r="BX97" s="72" t="str">
        <f t="array" ref="BX97">IFERROR(TRIM(_xlfn.REGEXEXTRACT(BV97,"(\d+[%]?$|[A-Z]+$)")),"")</f>
        <v/>
      </c>
      <c r="BY97" s="55"/>
      <c r="BZ97" s="70" t="str">
        <f t="shared" si="97"/>
        <v/>
      </c>
      <c r="CA97" s="70" t="str">
        <f t="array" ref="CA97">IFERROR(TRIM(_xlfn.REGEXEXTRACT(BY97,"(\d.+[%]?$|[0-9]|[A-Z]+$)")),"")</f>
        <v/>
      </c>
      <c r="CB97" s="71" t="str">
        <f>IFERROR(VLOOKUP(BZ97,'사용자가 입력할 시트'!$AF$2:$AG$60,2,FALSE),BZ97)</f>
        <v/>
      </c>
      <c r="CC97" s="72" t="str">
        <f t="array" ref="CC97">IFERROR(TRIM(_xlfn.REGEXEXTRACT(CA97,"(\d+[%]?$|[A-Z]+$)")),"")</f>
        <v/>
      </c>
    </row>
    <row r="98" spans="29:81">
      <c r="AC98" s="1"/>
      <c r="AD98" s="1"/>
      <c r="AF98" s="55"/>
      <c r="AG98" s="70" t="str">
        <f t="shared" si="88"/>
        <v/>
      </c>
      <c r="AH98" s="70" t="str">
        <f t="array" ref="AH98">IFERROR(TRIM(_xlfn.REGEXEXTRACT(AF98,"(\d.+[%]?$|[0-9]|[A-Z]+$)")),"")</f>
        <v/>
      </c>
      <c r="AI98" s="71" t="str">
        <f>IFERROR(VLOOKUP(AG98,'사용자가 입력할 시트'!$AF$2:$AG$60,2,FALSE),AG98)</f>
        <v/>
      </c>
      <c r="AJ98" s="72" t="str">
        <f t="array" ref="AJ98">IFERROR(TRIM(_xlfn.REGEXEXTRACT(AH98,"(\d+[%]?$|[A-Z]+$)")),"")</f>
        <v/>
      </c>
      <c r="AK98" s="55"/>
      <c r="AL98" s="70" t="str">
        <f t="shared" si="89"/>
        <v/>
      </c>
      <c r="AM98" s="70" t="str">
        <f t="array" ref="AM98">IFERROR(TRIM(_xlfn.REGEXEXTRACT(AK98,"(\d.+[%]?$|[0-9]|[A-Z]+$)")),"")</f>
        <v/>
      </c>
      <c r="AN98" s="71" t="str">
        <f>IFERROR(VLOOKUP(AL98,'사용자가 입력할 시트'!$AF$2:$AG$60,2,FALSE),AL98)</f>
        <v/>
      </c>
      <c r="AO98" s="72" t="str">
        <f t="array" ref="AO98">IFERROR(TRIM(_xlfn.REGEXEXTRACT(AM98,"(\d+[%]?$|[A-Z]+$)")),"")</f>
        <v/>
      </c>
      <c r="AP98" s="55"/>
      <c r="AQ98" s="70" t="str">
        <f t="shared" si="90"/>
        <v/>
      </c>
      <c r="AR98" s="70" t="str">
        <f t="array" ref="AR98">IFERROR(TRIM(_xlfn.REGEXEXTRACT(AP98,"(\d.+[%]?$|[0-9]|[A-Z]+$)")),"")</f>
        <v/>
      </c>
      <c r="AS98" s="71" t="str">
        <f>IFERROR(VLOOKUP(AQ98,'사용자가 입력할 시트'!$AF$2:$AG$60,2,FALSE),AQ98)</f>
        <v/>
      </c>
      <c r="AT98" s="72" t="str">
        <f t="array" ref="AT98">IFERROR(TRIM(_xlfn.REGEXEXTRACT(AR98,"(\d+[%]?$|[A-Z]+$)")),"")</f>
        <v/>
      </c>
      <c r="AU98" s="55"/>
      <c r="AV98" s="70" t="str">
        <f t="shared" si="91"/>
        <v/>
      </c>
      <c r="AW98" s="70" t="str">
        <f t="array" ref="AW98">IFERROR(TRIM(_xlfn.REGEXEXTRACT(AU98,"(\d.+[%]?$|[0-9]|[A-Z]+$)")),"")</f>
        <v/>
      </c>
      <c r="AX98" s="71" t="str">
        <f>IFERROR(VLOOKUP(AV98,'사용자가 입력할 시트'!$AF$2:$AG$60,2,FALSE),AV98)</f>
        <v/>
      </c>
      <c r="AY98" s="72" t="str">
        <f t="array" ref="AY98">IFERROR(TRIM(_xlfn.REGEXEXTRACT(AW98,"(\d+[%]?$|[A-Z]+$)")),"")</f>
        <v/>
      </c>
      <c r="AZ98" s="55"/>
      <c r="BA98" s="70" t="str">
        <f t="shared" si="92"/>
        <v/>
      </c>
      <c r="BB98" s="70" t="str">
        <f t="array" ref="BB98">IFERROR(TRIM(_xlfn.REGEXEXTRACT(AZ98,"(\d.+[%]?$|[0-9]|[A-Z]+$)")),"")</f>
        <v/>
      </c>
      <c r="BC98" s="71" t="str">
        <f>IFERROR(VLOOKUP(BA98,'사용자가 입력할 시트'!$AF$2:$AG$60,2,FALSE),BA98)</f>
        <v/>
      </c>
      <c r="BD98" s="72" t="str">
        <f t="array" ref="BD98">IFERROR(TRIM(_xlfn.REGEXEXTRACT(BB98,"(\d+[%]?$|[A-Z]+$)")),"")</f>
        <v/>
      </c>
      <c r="BE98" s="55"/>
      <c r="BF98" s="70" t="str">
        <f t="shared" si="93"/>
        <v/>
      </c>
      <c r="BG98" s="70" t="str">
        <f t="array" ref="BG98">IFERROR(TRIM(_xlfn.REGEXEXTRACT(BE98,"(\d.+[%]?$|[0-9]|[A-Z]+$)")),"")</f>
        <v/>
      </c>
      <c r="BH98" s="71" t="str">
        <f>IFERROR(VLOOKUP(BF98,'사용자가 입력할 시트'!$AF$2:$AG$60,2,FALSE),BF98)</f>
        <v/>
      </c>
      <c r="BI98" s="72" t="str">
        <f t="array" ref="BI98">IFERROR(TRIM(_xlfn.REGEXEXTRACT(BG98,"(\d+[%]?$|[A-Z]+$)")),"")</f>
        <v/>
      </c>
      <c r="BJ98" s="55"/>
      <c r="BK98" s="70" t="str">
        <f t="shared" si="94"/>
        <v/>
      </c>
      <c r="BL98" s="70" t="str">
        <f t="array" ref="BL98">IFERROR(TRIM(_xlfn.REGEXEXTRACT(BJ98,"(\d.+[%]?$|[0-9]|[A-Z]+$)")),"")</f>
        <v/>
      </c>
      <c r="BM98" s="71" t="str">
        <f>IFERROR(VLOOKUP(BK98,'사용자가 입력할 시트'!$AF$2:$AG$60,2,FALSE),BK98)</f>
        <v/>
      </c>
      <c r="BN98" s="72" t="str">
        <f t="array" ref="BN98">IFERROR(TRIM(_xlfn.REGEXEXTRACT(BL98,"(\d+[%]?$|[A-Z]+$)")),"")</f>
        <v/>
      </c>
      <c r="BO98" s="55"/>
      <c r="BP98" s="70" t="str">
        <f t="shared" si="95"/>
        <v/>
      </c>
      <c r="BQ98" s="70" t="str">
        <f t="array" ref="BQ98">IFERROR(TRIM(_xlfn.REGEXEXTRACT(BO98,"(\d.+[%]?$|[0-9]|[A-Z]+$)")),"")</f>
        <v/>
      </c>
      <c r="BR98" s="71" t="str">
        <f>IFERROR(VLOOKUP(BP98,'사용자가 입력할 시트'!$AF$2:$AG$60,2,FALSE),BP98)</f>
        <v/>
      </c>
      <c r="BS98" s="72" t="str">
        <f t="array" ref="BS98">IFERROR(TRIM(_xlfn.REGEXEXTRACT(BQ98,"(\d+[%]?$|[A-Z]+$)")),"")</f>
        <v/>
      </c>
      <c r="BT98" s="55"/>
      <c r="BU98" s="70" t="str">
        <f t="shared" si="96"/>
        <v/>
      </c>
      <c r="BV98" s="70" t="str">
        <f t="array" ref="BV98">IFERROR(TRIM(_xlfn.REGEXEXTRACT(BT98,"(\d.+[%]?$|[0-9]|[A-Z]+$)")),"")</f>
        <v/>
      </c>
      <c r="BW98" s="71" t="str">
        <f>IFERROR(VLOOKUP(BU98,'사용자가 입력할 시트'!$AF$2:$AG$60,2,FALSE),BU98)</f>
        <v/>
      </c>
      <c r="BX98" s="72" t="str">
        <f t="array" ref="BX98">IFERROR(TRIM(_xlfn.REGEXEXTRACT(BV98,"(\d+[%]?$|[A-Z]+$)")),"")</f>
        <v/>
      </c>
      <c r="BY98" s="55"/>
      <c r="BZ98" s="70" t="str">
        <f t="shared" si="97"/>
        <v/>
      </c>
      <c r="CA98" s="70" t="str">
        <f t="array" ref="CA98">IFERROR(TRIM(_xlfn.REGEXEXTRACT(BY98,"(\d.+[%]?$|[0-9]|[A-Z]+$)")),"")</f>
        <v/>
      </c>
      <c r="CB98" s="71" t="str">
        <f>IFERROR(VLOOKUP(BZ98,'사용자가 입력할 시트'!$AF$2:$AG$60,2,FALSE),BZ98)</f>
        <v/>
      </c>
      <c r="CC98" s="72" t="str">
        <f t="array" ref="CC98">IFERROR(TRIM(_xlfn.REGEXEXTRACT(CA98,"(\d+[%]?$|[A-Z]+$)")),"")</f>
        <v/>
      </c>
    </row>
    <row r="99" spans="29:81">
      <c r="AC99" s="1"/>
      <c r="AD99" s="1"/>
      <c r="AF99" s="55"/>
      <c r="AG99" s="70" t="str">
        <f t="shared" si="88"/>
        <v/>
      </c>
      <c r="AH99" s="70" t="str">
        <f t="array" ref="AH99">IFERROR(TRIM(_xlfn.REGEXEXTRACT(AF99,"(\d.+[%]?$|[0-9]|[A-Z]+$)")),"")</f>
        <v/>
      </c>
      <c r="AI99" s="71" t="str">
        <f>IFERROR(VLOOKUP(AG99,'사용자가 입력할 시트'!$AF$2:$AG$60,2,FALSE),AG99)</f>
        <v/>
      </c>
      <c r="AJ99" s="72" t="str">
        <f t="array" ref="AJ99">IFERROR(TRIM(_xlfn.REGEXEXTRACT(AH99,"(\d+[%]?$|[A-Z]+$)")),"")</f>
        <v/>
      </c>
      <c r="AK99" s="55"/>
      <c r="AL99" s="70" t="str">
        <f t="shared" si="89"/>
        <v/>
      </c>
      <c r="AM99" s="70" t="str">
        <f t="array" ref="AM99">IFERROR(TRIM(_xlfn.REGEXEXTRACT(AK99,"(\d.+[%]?$|[0-9]|[A-Z]+$)")),"")</f>
        <v/>
      </c>
      <c r="AN99" s="71" t="str">
        <f>IFERROR(VLOOKUP(AL99,'사용자가 입력할 시트'!$AF$2:$AG$60,2,FALSE),AL99)</f>
        <v/>
      </c>
      <c r="AO99" s="72" t="str">
        <f t="array" ref="AO99">IFERROR(TRIM(_xlfn.REGEXEXTRACT(AM99,"(\d+[%]?$|[A-Z]+$)")),"")</f>
        <v/>
      </c>
      <c r="AP99" s="55"/>
      <c r="AQ99" s="70" t="str">
        <f t="shared" si="90"/>
        <v/>
      </c>
      <c r="AR99" s="70" t="str">
        <f t="array" ref="AR99">IFERROR(TRIM(_xlfn.REGEXEXTRACT(AP99,"(\d.+[%]?$|[0-9]|[A-Z]+$)")),"")</f>
        <v/>
      </c>
      <c r="AS99" s="71" t="str">
        <f>IFERROR(VLOOKUP(AQ99,'사용자가 입력할 시트'!$AF$2:$AG$60,2,FALSE),AQ99)</f>
        <v/>
      </c>
      <c r="AT99" s="72" t="str">
        <f t="array" ref="AT99">IFERROR(TRIM(_xlfn.REGEXEXTRACT(AR99,"(\d+[%]?$|[A-Z]+$)")),"")</f>
        <v/>
      </c>
      <c r="AU99" s="55"/>
      <c r="AV99" s="70" t="str">
        <f t="shared" si="91"/>
        <v/>
      </c>
      <c r="AW99" s="70" t="str">
        <f t="array" ref="AW99">IFERROR(TRIM(_xlfn.REGEXEXTRACT(AU99,"(\d.+[%]?$|[0-9]|[A-Z]+$)")),"")</f>
        <v/>
      </c>
      <c r="AX99" s="71" t="str">
        <f>IFERROR(VLOOKUP(AV99,'사용자가 입력할 시트'!$AF$2:$AG$60,2,FALSE),AV99)</f>
        <v/>
      </c>
      <c r="AY99" s="72" t="str">
        <f t="array" ref="AY99">IFERROR(TRIM(_xlfn.REGEXEXTRACT(AW99,"(\d+[%]?$|[A-Z]+$)")),"")</f>
        <v/>
      </c>
      <c r="AZ99" s="55"/>
      <c r="BA99" s="70" t="str">
        <f t="shared" si="92"/>
        <v/>
      </c>
      <c r="BB99" s="70" t="str">
        <f t="array" ref="BB99">IFERROR(TRIM(_xlfn.REGEXEXTRACT(AZ99,"(\d.+[%]?$|[0-9]|[A-Z]+$)")),"")</f>
        <v/>
      </c>
      <c r="BC99" s="71" t="str">
        <f>IFERROR(VLOOKUP(BA99,'사용자가 입력할 시트'!$AF$2:$AG$60,2,FALSE),BA99)</f>
        <v/>
      </c>
      <c r="BD99" s="72" t="str">
        <f t="array" ref="BD99">IFERROR(TRIM(_xlfn.REGEXEXTRACT(BB99,"(\d+[%]?$|[A-Z]+$)")),"")</f>
        <v/>
      </c>
      <c r="BE99" s="55"/>
      <c r="BF99" s="70" t="str">
        <f t="shared" si="93"/>
        <v/>
      </c>
      <c r="BG99" s="70" t="str">
        <f t="array" ref="BG99">IFERROR(TRIM(_xlfn.REGEXEXTRACT(BE99,"(\d.+[%]?$|[0-9]|[A-Z]+$)")),"")</f>
        <v/>
      </c>
      <c r="BH99" s="71" t="str">
        <f>IFERROR(VLOOKUP(BF99,'사용자가 입력할 시트'!$AF$2:$AG$60,2,FALSE),BF99)</f>
        <v/>
      </c>
      <c r="BI99" s="72" t="str">
        <f t="array" ref="BI99">IFERROR(TRIM(_xlfn.REGEXEXTRACT(BG99,"(\d+[%]?$|[A-Z]+$)")),"")</f>
        <v/>
      </c>
      <c r="BJ99" s="55"/>
      <c r="BK99" s="70" t="str">
        <f t="shared" si="94"/>
        <v/>
      </c>
      <c r="BL99" s="70" t="str">
        <f t="array" ref="BL99">IFERROR(TRIM(_xlfn.REGEXEXTRACT(BJ99,"(\d.+[%]?$|[0-9]|[A-Z]+$)")),"")</f>
        <v/>
      </c>
      <c r="BM99" s="71" t="str">
        <f>IFERROR(VLOOKUP(BK99,'사용자가 입력할 시트'!$AF$2:$AG$60,2,FALSE),BK99)</f>
        <v/>
      </c>
      <c r="BN99" s="72" t="str">
        <f t="array" ref="BN99">IFERROR(TRIM(_xlfn.REGEXEXTRACT(BL99,"(\d+[%]?$|[A-Z]+$)")),"")</f>
        <v/>
      </c>
      <c r="BO99" s="55"/>
      <c r="BP99" s="70" t="str">
        <f t="shared" si="95"/>
        <v/>
      </c>
      <c r="BQ99" s="70" t="str">
        <f t="array" ref="BQ99">IFERROR(TRIM(_xlfn.REGEXEXTRACT(BO99,"(\d.+[%]?$|[0-9]|[A-Z]+$)")),"")</f>
        <v/>
      </c>
      <c r="BR99" s="71" t="str">
        <f>IFERROR(VLOOKUP(BP99,'사용자가 입력할 시트'!$AF$2:$AG$60,2,FALSE),BP99)</f>
        <v/>
      </c>
      <c r="BS99" s="72" t="str">
        <f t="array" ref="BS99">IFERROR(TRIM(_xlfn.REGEXEXTRACT(BQ99,"(\d+[%]?$|[A-Z]+$)")),"")</f>
        <v/>
      </c>
      <c r="BT99" s="55"/>
      <c r="BU99" s="70" t="str">
        <f t="shared" si="96"/>
        <v/>
      </c>
      <c r="BV99" s="70" t="str">
        <f t="array" ref="BV99">IFERROR(TRIM(_xlfn.REGEXEXTRACT(BT99,"(\d.+[%]?$|[0-9]|[A-Z]+$)")),"")</f>
        <v/>
      </c>
      <c r="BW99" s="71" t="str">
        <f>IFERROR(VLOOKUP(BU99,'사용자가 입력할 시트'!$AF$2:$AG$60,2,FALSE),BU99)</f>
        <v/>
      </c>
      <c r="BX99" s="72" t="str">
        <f t="array" ref="BX99">IFERROR(TRIM(_xlfn.REGEXEXTRACT(BV99,"(\d+[%]?$|[A-Z]+$)")),"")</f>
        <v/>
      </c>
      <c r="BY99" s="55"/>
      <c r="BZ99" s="70" t="str">
        <f t="shared" si="97"/>
        <v/>
      </c>
      <c r="CA99" s="70" t="str">
        <f t="array" ref="CA99">IFERROR(TRIM(_xlfn.REGEXEXTRACT(BY99,"(\d.+[%]?$|[0-9]|[A-Z]+$)")),"")</f>
        <v/>
      </c>
      <c r="CB99" s="71" t="str">
        <f>IFERROR(VLOOKUP(BZ99,'사용자가 입력할 시트'!$AF$2:$AG$60,2,FALSE),BZ99)</f>
        <v/>
      </c>
      <c r="CC99" s="72" t="str">
        <f t="array" ref="CC99">IFERROR(TRIM(_xlfn.REGEXEXTRACT(CA99,"(\d+[%]?$|[A-Z]+$)")),"")</f>
        <v/>
      </c>
    </row>
    <row r="100" spans="29:81">
      <c r="AC100" s="1"/>
      <c r="AD100" s="1"/>
      <c r="AF100" s="55"/>
      <c r="AG100" s="70" t="str">
        <f t="shared" si="88"/>
        <v/>
      </c>
      <c r="AH100" s="70" t="str">
        <f t="array" ref="AH100">IFERROR(TRIM(_xlfn.REGEXEXTRACT(AF100,"(\d.+[%]?$|[0-9]|[A-Z]+$)")),"")</f>
        <v/>
      </c>
      <c r="AI100" s="71" t="str">
        <f>IFERROR(VLOOKUP(AG100,'사용자가 입력할 시트'!$AF$2:$AG$60,2,FALSE),AG100)</f>
        <v/>
      </c>
      <c r="AJ100" s="72" t="str">
        <f t="array" ref="AJ100">IFERROR(TRIM(_xlfn.REGEXEXTRACT(AH100,"(\d+[%]?$|[A-Z]+$)")),"")</f>
        <v/>
      </c>
      <c r="AK100" s="55"/>
      <c r="AL100" s="70" t="str">
        <f t="shared" si="89"/>
        <v/>
      </c>
      <c r="AM100" s="70" t="str">
        <f t="array" ref="AM100">IFERROR(TRIM(_xlfn.REGEXEXTRACT(AK100,"(\d.+[%]?$|[0-9]|[A-Z]+$)")),"")</f>
        <v/>
      </c>
      <c r="AN100" s="71" t="str">
        <f>IFERROR(VLOOKUP(AL100,'사용자가 입력할 시트'!$AF$2:$AG$60,2,FALSE),AL100)</f>
        <v/>
      </c>
      <c r="AO100" s="72" t="str">
        <f t="array" ref="AO100">IFERROR(TRIM(_xlfn.REGEXEXTRACT(AM100,"(\d+[%]?$|[A-Z]+$)")),"")</f>
        <v/>
      </c>
      <c r="AP100" s="55"/>
      <c r="AQ100" s="70" t="str">
        <f t="shared" si="90"/>
        <v/>
      </c>
      <c r="AR100" s="70" t="str">
        <f t="array" ref="AR100">IFERROR(TRIM(_xlfn.REGEXEXTRACT(AP100,"(\d.+[%]?$|[0-9]|[A-Z]+$)")),"")</f>
        <v/>
      </c>
      <c r="AS100" s="71" t="str">
        <f>IFERROR(VLOOKUP(AQ100,'사용자가 입력할 시트'!$AF$2:$AG$60,2,FALSE),AQ100)</f>
        <v/>
      </c>
      <c r="AT100" s="72" t="str">
        <f t="array" ref="AT100">IFERROR(TRIM(_xlfn.REGEXEXTRACT(AR100,"(\d+[%]?$|[A-Z]+$)")),"")</f>
        <v/>
      </c>
      <c r="AU100" s="55"/>
      <c r="AV100" s="70" t="str">
        <f t="shared" si="91"/>
        <v/>
      </c>
      <c r="AW100" s="70" t="str">
        <f t="array" ref="AW100">IFERROR(TRIM(_xlfn.REGEXEXTRACT(AU100,"(\d.+[%]?$|[0-9]|[A-Z]+$)")),"")</f>
        <v/>
      </c>
      <c r="AX100" s="71" t="str">
        <f>IFERROR(VLOOKUP(AV100,'사용자가 입력할 시트'!$AF$2:$AG$60,2,FALSE),AV100)</f>
        <v/>
      </c>
      <c r="AY100" s="72" t="str">
        <f t="array" ref="AY100">IFERROR(TRIM(_xlfn.REGEXEXTRACT(AW100,"(\d+[%]?$|[A-Z]+$)")),"")</f>
        <v/>
      </c>
      <c r="AZ100" s="55"/>
      <c r="BA100" s="70" t="str">
        <f t="shared" si="92"/>
        <v/>
      </c>
      <c r="BB100" s="70" t="str">
        <f t="array" ref="BB100">IFERROR(TRIM(_xlfn.REGEXEXTRACT(AZ100,"(\d.+[%]?$|[0-9]|[A-Z]+$)")),"")</f>
        <v/>
      </c>
      <c r="BC100" s="71" t="str">
        <f>IFERROR(VLOOKUP(BA100,'사용자가 입력할 시트'!$AF$2:$AG$60,2,FALSE),BA100)</f>
        <v/>
      </c>
      <c r="BD100" s="72" t="str">
        <f t="array" ref="BD100">IFERROR(TRIM(_xlfn.REGEXEXTRACT(BB100,"(\d+[%]?$|[A-Z]+$)")),"")</f>
        <v/>
      </c>
      <c r="BE100" s="55"/>
      <c r="BF100" s="70" t="str">
        <f t="shared" si="93"/>
        <v/>
      </c>
      <c r="BG100" s="70" t="str">
        <f t="array" ref="BG100">IFERROR(TRIM(_xlfn.REGEXEXTRACT(BE100,"(\d.+[%]?$|[0-9]|[A-Z]+$)")),"")</f>
        <v/>
      </c>
      <c r="BH100" s="71" t="str">
        <f>IFERROR(VLOOKUP(BF100,'사용자가 입력할 시트'!$AF$2:$AG$60,2,FALSE),BF100)</f>
        <v/>
      </c>
      <c r="BI100" s="72" t="str">
        <f t="array" ref="BI100">IFERROR(TRIM(_xlfn.REGEXEXTRACT(BG100,"(\d+[%]?$|[A-Z]+$)")),"")</f>
        <v/>
      </c>
      <c r="BJ100" s="55"/>
      <c r="BK100" s="70" t="str">
        <f t="shared" si="94"/>
        <v/>
      </c>
      <c r="BL100" s="70" t="str">
        <f t="array" ref="BL100">IFERROR(TRIM(_xlfn.REGEXEXTRACT(BJ100,"(\d.+[%]?$|[0-9]|[A-Z]+$)")),"")</f>
        <v/>
      </c>
      <c r="BM100" s="71" t="str">
        <f>IFERROR(VLOOKUP(BK100,'사용자가 입력할 시트'!$AF$2:$AG$60,2,FALSE),BK100)</f>
        <v/>
      </c>
      <c r="BN100" s="72" t="str">
        <f t="array" ref="BN100">IFERROR(TRIM(_xlfn.REGEXEXTRACT(BL100,"(\d+[%]?$|[A-Z]+$)")),"")</f>
        <v/>
      </c>
      <c r="BO100" s="55"/>
      <c r="BP100" s="70" t="str">
        <f t="shared" si="95"/>
        <v/>
      </c>
      <c r="BQ100" s="70" t="str">
        <f t="array" ref="BQ100">IFERROR(TRIM(_xlfn.REGEXEXTRACT(BO100,"(\d.+[%]?$|[0-9]|[A-Z]+$)")),"")</f>
        <v/>
      </c>
      <c r="BR100" s="71" t="str">
        <f>IFERROR(VLOOKUP(BP100,'사용자가 입력할 시트'!$AF$2:$AG$60,2,FALSE),BP100)</f>
        <v/>
      </c>
      <c r="BS100" s="72" t="str">
        <f t="array" ref="BS100">IFERROR(TRIM(_xlfn.REGEXEXTRACT(BQ100,"(\d+[%]?$|[A-Z]+$)")),"")</f>
        <v/>
      </c>
      <c r="BT100" s="55"/>
      <c r="BU100" s="70" t="str">
        <f t="shared" si="96"/>
        <v/>
      </c>
      <c r="BV100" s="70" t="str">
        <f t="array" ref="BV100">IFERROR(TRIM(_xlfn.REGEXEXTRACT(BT100,"(\d.+[%]?$|[0-9]|[A-Z]+$)")),"")</f>
        <v/>
      </c>
      <c r="BW100" s="71" t="str">
        <f>IFERROR(VLOOKUP(BU100,'사용자가 입력할 시트'!$AF$2:$AG$60,2,FALSE),BU100)</f>
        <v/>
      </c>
      <c r="BX100" s="72" t="str">
        <f t="array" ref="BX100">IFERROR(TRIM(_xlfn.REGEXEXTRACT(BV100,"(\d+[%]?$|[A-Z]+$)")),"")</f>
        <v/>
      </c>
      <c r="BY100" s="55"/>
      <c r="BZ100" s="70" t="str">
        <f t="shared" si="97"/>
        <v/>
      </c>
      <c r="CA100" s="70" t="str">
        <f t="array" ref="CA100">IFERROR(TRIM(_xlfn.REGEXEXTRACT(BY100,"(\d.+[%]?$|[0-9]|[A-Z]+$)")),"")</f>
        <v/>
      </c>
      <c r="CB100" s="71" t="str">
        <f>IFERROR(VLOOKUP(BZ100,'사용자가 입력할 시트'!$AF$2:$AG$60,2,FALSE),BZ100)</f>
        <v/>
      </c>
      <c r="CC100" s="72" t="str">
        <f t="array" ref="CC100">IFERROR(TRIM(_xlfn.REGEXEXTRACT(CA100,"(\d+[%]?$|[A-Z]+$)")),"")</f>
        <v/>
      </c>
    </row>
  </sheetData>
  <mergeCells count="53">
    <mergeCell ref="C30:C32"/>
    <mergeCell ref="B33:B36"/>
    <mergeCell ref="C33:C34"/>
    <mergeCell ref="C35:C36"/>
    <mergeCell ref="C37:C39"/>
    <mergeCell ref="B19:B22"/>
    <mergeCell ref="C19:C20"/>
    <mergeCell ref="C21:C22"/>
    <mergeCell ref="C23:C25"/>
    <mergeCell ref="B26:B29"/>
    <mergeCell ref="C26:C27"/>
    <mergeCell ref="C28:C29"/>
    <mergeCell ref="C9:C11"/>
    <mergeCell ref="B12:B15"/>
    <mergeCell ref="C12:C13"/>
    <mergeCell ref="C14:C15"/>
    <mergeCell ref="C16:C18"/>
    <mergeCell ref="B3:Q3"/>
    <mergeCell ref="C4:D4"/>
    <mergeCell ref="B5:B8"/>
    <mergeCell ref="C5:C6"/>
    <mergeCell ref="C7:C8"/>
    <mergeCell ref="W3:Y3"/>
    <mergeCell ref="AF2:AJ2"/>
    <mergeCell ref="AG3:AH3"/>
    <mergeCell ref="AI3:AJ3"/>
    <mergeCell ref="AK2:AO2"/>
    <mergeCell ref="AL3:AM3"/>
    <mergeCell ref="AN3:AO3"/>
    <mergeCell ref="BO2:BS2"/>
    <mergeCell ref="BT2:BX2"/>
    <mergeCell ref="AP2:AT2"/>
    <mergeCell ref="AQ3:AR3"/>
    <mergeCell ref="AS3:AT3"/>
    <mergeCell ref="AU2:AY2"/>
    <mergeCell ref="AV3:AW3"/>
    <mergeCell ref="AX3:AY3"/>
    <mergeCell ref="BY2:CC2"/>
    <mergeCell ref="BA3:BB3"/>
    <mergeCell ref="BC3:BD3"/>
    <mergeCell ref="BF3:BG3"/>
    <mergeCell ref="BH3:BI3"/>
    <mergeCell ref="BK3:BL3"/>
    <mergeCell ref="BM3:BN3"/>
    <mergeCell ref="BP3:BQ3"/>
    <mergeCell ref="BR3:BS3"/>
    <mergeCell ref="BU3:BV3"/>
    <mergeCell ref="BW3:BX3"/>
    <mergeCell ref="BZ3:CA3"/>
    <mergeCell ref="CB3:CC3"/>
    <mergeCell ref="AZ2:BD2"/>
    <mergeCell ref="BE2:BI2"/>
    <mergeCell ref="BJ2:BN2"/>
  </mergeCells>
  <phoneticPr fontId="3" type="noConversion"/>
  <conditionalFormatting sqref="B41:C41">
    <cfRule type="expression" dxfId="2" priority="3">
      <formula>VALUE(B41)&lt;&gt;VALUE(#REF!)</formula>
    </cfRule>
  </conditionalFormatting>
  <conditionalFormatting sqref="B40 D40:Q40">
    <cfRule type="expression" dxfId="1" priority="2">
      <formula>VALUE(B40)&lt;&gt;VALUE(#REF!)</formula>
    </cfRule>
  </conditionalFormatting>
  <conditionalFormatting sqref="B38:B39 D38:Q39 B5:Q37">
    <cfRule type="expression" dxfId="0" priority="1">
      <formula>VALUE(B5)&lt;&gt;VALUE(#REF!)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요청 개요</vt:lpstr>
      <vt:lpstr>사용자가 입력할 시트</vt:lpstr>
      <vt:lpstr>데이터 처리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이진경 [jink23]</dc:creator>
  <cp:lastModifiedBy>이시민 [simin]</cp:lastModifiedBy>
  <dcterms:created xsi:type="dcterms:W3CDTF">2024-07-08T08:02:39Z</dcterms:created>
  <dcterms:modified xsi:type="dcterms:W3CDTF">2025-08-22T10:00:06Z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0x010100D305FB22D67B554088C26AF5ECBA4F10</vt:lpwstr>
  </property>
  <property fmtid="{D5CDD505-2E9C-101B-9397-08002B2CF9AE}" pid="3" name="MediaServiceImageTags">
    <vt:lpwstr/>
  </property>
</Properties>
</file>